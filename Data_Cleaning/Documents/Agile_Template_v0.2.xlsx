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defaultThemeVersion="124226"/>
  <mc:AlternateContent xmlns:mc="http://schemas.openxmlformats.org/markup-compatibility/2006">
    <mc:Choice Requires="x15">
      <x15ac:absPath xmlns:x15ac="http://schemas.microsoft.com/office/spreadsheetml/2010/11/ac" url="https://d.docs.live.net/E932A70D90AC84A4/Documents/"/>
    </mc:Choice>
  </mc:AlternateContent>
  <xr:revisionPtr revIDLastSave="0" documentId="8_{13C7CF0D-69C3-439F-91F6-11D8AC6AF7D5}" xr6:coauthVersionLast="47" xr6:coauthVersionMax="47" xr10:uidLastSave="{00000000-0000-0000-0000-000000000000}"/>
  <bookViews>
    <workbookView xWindow="-108" yWindow="-108" windowWidth="23256" windowHeight="12456" tabRatio="775" firstSheet="1" activeTab="1" xr2:uid="{C4B56059-9B56-43FB-A9A4-E207153B985F}"/>
  </bookViews>
  <sheets>
    <sheet name="Sprint Backlog New" sheetId="53" r:id="rId1"/>
    <sheet name="Product Backlog" sheetId="52" r:id="rId2"/>
    <sheet name="Retrospection" sheetId="34" r:id="rId3"/>
    <sheet name="Stand up Meeting" sheetId="50" r:id="rId4"/>
  </sheets>
  <definedNames>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53" l="1"/>
  <c r="K3" i="53"/>
  <c r="L3" i="53"/>
  <c r="M3" i="53"/>
  <c r="N3" i="53"/>
  <c r="O3" i="53"/>
  <c r="P3" i="53"/>
  <c r="Q3" i="53"/>
  <c r="R3" i="53"/>
  <c r="S3" i="53"/>
  <c r="T3" i="53"/>
  <c r="U3" i="53"/>
  <c r="V3" i="53"/>
  <c r="W3" i="53"/>
  <c r="J3" i="53"/>
  <c r="I3" i="53" s="1"/>
  <c r="I78" i="53"/>
  <c r="I79" i="53"/>
  <c r="I80" i="53"/>
  <c r="I81" i="53"/>
  <c r="I82" i="53"/>
  <c r="I83" i="53"/>
  <c r="I84" i="53"/>
  <c r="I85" i="53"/>
  <c r="I17" i="53"/>
  <c r="I18" i="53"/>
  <c r="I71" i="53"/>
  <c r="I72" i="53"/>
  <c r="I73" i="53"/>
  <c r="I56" i="53"/>
  <c r="I27" i="53"/>
  <c r="I33" i="53"/>
  <c r="I34" i="53"/>
  <c r="I35" i="53"/>
  <c r="I36" i="53"/>
  <c r="I37" i="53"/>
  <c r="I38" i="53"/>
  <c r="I39" i="53"/>
  <c r="I40" i="53"/>
  <c r="I41" i="53"/>
  <c r="I42" i="53"/>
  <c r="I43" i="53"/>
  <c r="I7" i="53"/>
  <c r="I8" i="53"/>
  <c r="I9" i="53"/>
  <c r="I10" i="53"/>
  <c r="I11" i="53"/>
  <c r="I12" i="53"/>
  <c r="I13" i="53"/>
  <c r="I14" i="53"/>
  <c r="I16" i="53"/>
  <c r="I19" i="53"/>
  <c r="I20" i="53"/>
  <c r="I21" i="53"/>
  <c r="I6" i="53"/>
  <c r="I60" i="53"/>
  <c r="I58" i="53"/>
  <c r="I59" i="53"/>
  <c r="I57" i="53"/>
  <c r="I95" i="53"/>
  <c r="I94" i="53"/>
  <c r="I77" i="53"/>
  <c r="I90" i="53"/>
  <c r="I89" i="53"/>
  <c r="I70" i="53"/>
  <c r="I65" i="53"/>
  <c r="I66" i="53"/>
  <c r="I64" i="53"/>
  <c r="I55" i="53"/>
  <c r="I48" i="53"/>
  <c r="I49" i="53"/>
  <c r="I50" i="53"/>
  <c r="I51" i="53"/>
  <c r="I47" i="53"/>
  <c r="I32" i="53"/>
  <c r="I26" i="53"/>
  <c r="I28" i="53"/>
  <c r="I25" i="5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Saurabh Kumar</author>
  </authors>
  <commentList>
    <comment ref="D2" authorId="0" shapeId="0" xr:uid="{6BC541DE-4228-4D7A-A5E9-2262FB5B39A8}">
      <text>
        <r>
          <rPr>
            <sz val="10"/>
            <rFont val="Arial"/>
          </rPr>
          <t>Saurabh Kumar:
Please enter the dates in either of these formats: 
9/15/2026  or
15-Sep-2026</t>
        </r>
      </text>
    </comment>
    <comment ref="E2" authorId="0" shapeId="0" xr:uid="{0AB4A98B-2E9F-4712-B57F-B09D0B332D5E}">
      <text>
        <r>
          <rPr>
            <sz val="10"/>
            <rFont val="Arial"/>
          </rPr>
          <t>Saurabh Kumar:
Please enter the dates in either of these formats: 
9/15/2026  or
15-Sep-2026</t>
        </r>
      </text>
    </comment>
    <comment ref="I3" authorId="0" shapeId="0" xr:uid="{06E4C675-0491-4E2C-A9E6-4F2BF8960202}">
      <text>
        <r>
          <rPr>
            <sz val="10"/>
            <rFont val="Arial"/>
          </rPr>
          <t xml:space="preserve">Saurabh Kumar:
This is the total task estimated in hours for all the user stories </t>
        </r>
      </text>
    </comment>
    <comment ref="J3" authorId="0" shapeId="0" xr:uid="{B4352E09-B4C0-4887-BA92-6BB0D57BFC3A}">
      <text>
        <r>
          <rPr>
            <sz val="10"/>
            <rFont val="Arial"/>
          </rPr>
          <t>Saurabh Kumar:
Pending effort hours after completion of day 1 work</t>
        </r>
      </text>
    </comment>
    <comment ref="K3" authorId="0" shapeId="0" xr:uid="{71BE6976-8137-4E69-88C9-A098873F834C}">
      <text>
        <r>
          <rPr>
            <sz val="10"/>
            <rFont val="Arial"/>
          </rPr>
          <t>Saurabh Kumar:
Pending effort hours after completion of day 2 work</t>
        </r>
      </text>
    </comment>
    <comment ref="L3" authorId="0" shapeId="0" xr:uid="{8C625F44-5C47-4AA1-AC12-E145422106A9}">
      <text>
        <r>
          <rPr>
            <sz val="10"/>
            <rFont val="Arial"/>
          </rPr>
          <t>Saurabh Kumar:
Pending effort hours after completion of day 3 work</t>
        </r>
      </text>
    </comment>
    <comment ref="M3" authorId="0" shapeId="0" xr:uid="{969A3E59-D783-442A-BF74-E86ED6EB5433}">
      <text>
        <r>
          <rPr>
            <sz val="10"/>
            <rFont val="Arial"/>
          </rPr>
          <t>Saurabh Kumar:
Pending effort hours after completion of day 4 work</t>
        </r>
      </text>
    </comment>
    <comment ref="N3" authorId="0" shapeId="0" xr:uid="{2BF851CA-C515-41F1-8784-0156EBD983D5}">
      <text>
        <r>
          <rPr>
            <sz val="10"/>
            <rFont val="Arial"/>
          </rPr>
          <t>Saurabh Kumar:
Pending effort hours after completion of day 5 work</t>
        </r>
      </text>
    </comment>
    <comment ref="O3" authorId="0" shapeId="0" xr:uid="{A9A63E8B-22FB-4476-96CB-60FCEB2B73A1}">
      <text>
        <r>
          <rPr>
            <sz val="10"/>
            <rFont val="Arial"/>
          </rPr>
          <t>Saurabh Kumar:
Pending effort hours after completion of day 6 work</t>
        </r>
      </text>
    </comment>
    <comment ref="P3" authorId="0" shapeId="0" xr:uid="{F4D607EF-B802-4EE8-B4B9-B0ECCB597196}">
      <text>
        <r>
          <rPr>
            <sz val="10"/>
            <rFont val="Arial"/>
          </rPr>
          <t>Saurabh Kumar:
Pending effort hours after completion of day 7 work</t>
        </r>
      </text>
    </comment>
    <comment ref="Q3" authorId="0" shapeId="0" xr:uid="{BF4AAA00-4B49-4897-9AB7-E2E5A5EA80F5}">
      <text>
        <r>
          <rPr>
            <sz val="10"/>
            <rFont val="Arial"/>
          </rPr>
          <t>Saurabh Kumar:
Pending effort hours after completion of day 8 work</t>
        </r>
      </text>
    </comment>
    <comment ref="R3" authorId="0" shapeId="0" xr:uid="{FA19A05A-1F17-4777-B177-A82FB4C1FAB9}">
      <text>
        <r>
          <rPr>
            <sz val="10"/>
            <rFont val="Arial"/>
          </rPr>
          <t>Saurabh Kumar:
Pending effort hours after completion of day 9 work</t>
        </r>
      </text>
    </comment>
    <comment ref="S3" authorId="0" shapeId="0" xr:uid="{2BE5E1B9-155C-425E-A900-689ABA4E4DD3}">
      <text>
        <r>
          <rPr>
            <sz val="10"/>
            <rFont val="Arial"/>
          </rPr>
          <t>Saurabh Kumar:
Pending effort hours after completion of day 10 work</t>
        </r>
      </text>
    </comment>
    <comment ref="T3" authorId="0" shapeId="0" xr:uid="{71654FC5-D251-4905-93D5-3D55F3100524}">
      <text>
        <r>
          <rPr>
            <sz val="10"/>
            <rFont val="Arial"/>
          </rPr>
          <t>Saurabh Kumar:
Pending effort hours after completion of day 11 work</t>
        </r>
      </text>
    </comment>
    <comment ref="U3" authorId="0" shapeId="0" xr:uid="{FAAF2BCA-60E2-4E8E-8EEB-17D79F378D77}">
      <text>
        <r>
          <rPr>
            <sz val="10"/>
            <rFont val="Arial"/>
          </rPr>
          <t>Saurabh Kumar:
Pending effort hours after completion of day 12 work</t>
        </r>
      </text>
    </comment>
    <comment ref="V3" authorId="0" shapeId="0" xr:uid="{8D248687-F7C8-41C6-8332-7CD234BEE558}">
      <text>
        <r>
          <rPr>
            <sz val="10"/>
            <rFont val="Arial"/>
          </rPr>
          <t>Saurabh Kumar:
Pending effort hours after completion of day 13 work</t>
        </r>
      </text>
    </comment>
    <comment ref="W3" authorId="0" shapeId="0" xr:uid="{E8B9D6FF-0E16-4A52-AC86-7B30328A1BD4}">
      <text>
        <r>
          <rPr>
            <sz val="10"/>
            <rFont val="Arial"/>
          </rPr>
          <t>Saurabh Kumar:
Pending effort hours after completion of day 14 work</t>
        </r>
      </text>
    </comment>
    <comment ref="I6" authorId="0" shapeId="0" xr:uid="{6A00A63A-4678-48C8-ADB0-6C0FF20E500F}">
      <text>
        <r>
          <rPr>
            <sz val="10"/>
            <rFont val="Arial"/>
          </rPr>
          <t>Saurabh Kumar:
Don't Fill this Column</t>
        </r>
      </text>
    </comment>
    <comment ref="D25" authorId="0" shapeId="0" xr:uid="{28398276-F220-42DC-A5D8-96019B68DAA5}">
      <text>
        <r>
          <rPr>
            <b/>
            <sz val="9"/>
            <color indexed="81"/>
            <rFont val="Tahoma"/>
            <family val="2"/>
          </rPr>
          <t>Saurabh Kumar:</t>
        </r>
        <r>
          <rPr>
            <sz val="9"/>
            <color indexed="81"/>
            <rFont val="Tahoma"/>
            <family val="2"/>
          </rPr>
          <t xml:space="preserve">
Please enter the dates in either of these formats: 
9/15/2026  or
15-Sep-2026</t>
        </r>
      </text>
    </comment>
    <comment ref="E25" authorId="0" shapeId="0" xr:uid="{E6B77136-BDF4-45D0-A617-3853E4645C63}">
      <text>
        <r>
          <rPr>
            <b/>
            <sz val="9"/>
            <color indexed="81"/>
            <rFont val="Tahoma"/>
            <family val="2"/>
          </rPr>
          <t>Saurabh Kumar:</t>
        </r>
        <r>
          <rPr>
            <sz val="9"/>
            <color indexed="81"/>
            <rFont val="Tahoma"/>
            <family val="2"/>
          </rPr>
          <t xml:space="preserve">
Please enter the dates in either of these formats: 
9/15/2026  or
15-Sep-2026</t>
        </r>
      </text>
    </comment>
    <comment ref="D27" authorId="0" shapeId="0" xr:uid="{7425C486-82C0-4020-B2AF-71D4BB9EFC7F}">
      <text>
        <r>
          <rPr>
            <b/>
            <sz val="9"/>
            <color indexed="81"/>
            <rFont val="Tahoma"/>
            <family val="2"/>
          </rPr>
          <t>Saurabh Kumar:</t>
        </r>
        <r>
          <rPr>
            <sz val="9"/>
            <color indexed="81"/>
            <rFont val="Tahoma"/>
            <family val="2"/>
          </rPr>
          <t xml:space="preserve">
Please enter the dates in either of these formats: 
9/15/2026  or
15-Sep-2026</t>
        </r>
      </text>
    </comment>
    <comment ref="E27" authorId="0" shapeId="0" xr:uid="{51225067-E738-4C9D-9895-1BFB755FDCB6}">
      <text>
        <r>
          <rPr>
            <b/>
            <sz val="9"/>
            <color indexed="81"/>
            <rFont val="Tahoma"/>
            <family val="2"/>
          </rPr>
          <t>Saurabh Kumar:</t>
        </r>
        <r>
          <rPr>
            <sz val="9"/>
            <color indexed="81"/>
            <rFont val="Tahoma"/>
            <family val="2"/>
          </rPr>
          <t xml:space="preserve">
Please enter the dates in either of these formats: 
9/15/2026  or
15-Sep-2026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3CEEE240-463D-4FDA-99F5-92C179B7BE10}">
      <text>
        <r>
          <rPr>
            <sz val="9"/>
            <color indexed="81"/>
            <rFont val="Tahoma"/>
            <family val="2"/>
          </rPr>
          <t xml:space="preserve">Mention the US ID(s) on which the user story depends.
</t>
        </r>
      </text>
    </comment>
  </commentList>
</comments>
</file>

<file path=xl/sharedStrings.xml><?xml version="1.0" encoding="utf-8"?>
<sst xmlns="http://schemas.openxmlformats.org/spreadsheetml/2006/main" count="1331" uniqueCount="446">
  <si>
    <r>
      <rPr>
        <b/>
        <sz val="10"/>
        <color rgb="FF000000"/>
        <rFont val="Arial"/>
      </rPr>
      <t>NOTES:</t>
    </r>
    <r>
      <rPr>
        <sz val="10"/>
        <color rgb="FF000000"/>
        <rFont val="Arial"/>
      </rPr>
      <t xml:space="preserve"> Task sizing should be between 0.5 to 12 hours</t>
    </r>
  </si>
  <si>
    <t>US ID</t>
  </si>
  <si>
    <t>Task ID</t>
  </si>
  <si>
    <t>Task Description</t>
  </si>
  <si>
    <t>Task Start Date</t>
  </si>
  <si>
    <t>Task Completion Date</t>
  </si>
  <si>
    <t>Team Member</t>
  </si>
  <si>
    <t>Activity</t>
  </si>
  <si>
    <t>Status</t>
  </si>
  <si>
    <t>Original Estimate (Hours)</t>
  </si>
  <si>
    <t>Day 1</t>
  </si>
  <si>
    <t>Day 2</t>
  </si>
  <si>
    <t>Day 3</t>
  </si>
  <si>
    <t>Day 4</t>
  </si>
  <si>
    <t>Day 5</t>
  </si>
  <si>
    <t>Day 6</t>
  </si>
  <si>
    <t>Day 7</t>
  </si>
  <si>
    <t>Day 8</t>
  </si>
  <si>
    <t>Day 9</t>
  </si>
  <si>
    <t>Day 10</t>
  </si>
  <si>
    <t>Day 11</t>
  </si>
  <si>
    <t>Day 12</t>
  </si>
  <si>
    <t>Day 13</t>
  </si>
  <si>
    <t>Day 14</t>
  </si>
  <si>
    <t>SPRINT 1 BACKLOG</t>
  </si>
  <si>
    <t>Start Date</t>
  </si>
  <si>
    <t>Completion Date</t>
  </si>
  <si>
    <t>Est. Hours</t>
  </si>
  <si>
    <t>US-001</t>
  </si>
  <si>
    <t>T-001</t>
  </si>
  <si>
    <t>Project planning, coordination and management</t>
  </si>
  <si>
    <t>Saurabh</t>
  </si>
  <si>
    <t>Plan</t>
  </si>
  <si>
    <t>3- Completed</t>
  </si>
  <si>
    <t>US-002</t>
  </si>
  <si>
    <t>T-002</t>
  </si>
  <si>
    <t>Create GitHub Organization</t>
  </si>
  <si>
    <t>Build</t>
  </si>
  <si>
    <t>US-003</t>
  </si>
  <si>
    <t>T-003</t>
  </si>
  <si>
    <r>
      <rPr>
        <sz val="10"/>
        <color rgb="FF000000"/>
        <rFont val="Arial"/>
      </rPr>
      <t xml:space="preserve">Create </t>
    </r>
    <r>
      <rPr>
        <b/>
        <sz val="10"/>
        <color rgb="FF000000"/>
        <rFont val="Arial"/>
      </rPr>
      <t>GitHub Repository</t>
    </r>
  </si>
  <si>
    <t>US-004</t>
  </si>
  <si>
    <t>T-004</t>
  </si>
  <si>
    <t>Invite team members as collaborators</t>
  </si>
  <si>
    <t>US-005</t>
  </si>
  <si>
    <t>T-005</t>
  </si>
  <si>
    <t>Prepare professional README and documentation</t>
  </si>
  <si>
    <t>Code</t>
  </si>
  <si>
    <t>US-006</t>
  </si>
  <si>
    <t>T-006</t>
  </si>
  <si>
    <t>Upload project datasets</t>
  </si>
  <si>
    <t>US-007</t>
  </si>
  <si>
    <t>T-007</t>
  </si>
  <si>
    <r>
      <rPr>
        <sz val="10"/>
        <color rgb="FF000000"/>
        <rFont val="Arial"/>
      </rPr>
      <t xml:space="preserve">Add </t>
    </r>
    <r>
      <rPr>
        <b/>
        <sz val="10"/>
        <color rgb="FF000000"/>
        <rFont val="Arial"/>
      </rPr>
      <t>MIT</t>
    </r>
    <r>
      <rPr>
        <sz val="10"/>
        <color rgb="FF000000"/>
        <rFont val="Arial"/>
      </rPr>
      <t xml:space="preserve"> License</t>
    </r>
  </si>
  <si>
    <t>US-008</t>
  </si>
  <si>
    <t>T-008</t>
  </si>
  <si>
    <r>
      <rPr>
        <sz val="10"/>
        <color rgb="FF000000"/>
        <rFont val="Arial"/>
      </rPr>
      <t xml:space="preserve">Define project </t>
    </r>
    <r>
      <rPr>
        <b/>
        <sz val="10"/>
        <color rgb="FF000000"/>
        <rFont val="Arial"/>
      </rPr>
      <t xml:space="preserve">roadmap </t>
    </r>
    <r>
      <rPr>
        <sz val="10"/>
        <color rgb="FF000000"/>
        <rFont val="Arial"/>
      </rPr>
      <t xml:space="preserve">and implementation </t>
    </r>
    <r>
      <rPr>
        <b/>
        <sz val="10"/>
        <color rgb="FF000000"/>
        <rFont val="Arial"/>
      </rPr>
      <t>strategy</t>
    </r>
  </si>
  <si>
    <t>US-009</t>
  </si>
  <si>
    <t>T-009</t>
  </si>
  <si>
    <t>Updated Github Repositry</t>
  </si>
  <si>
    <t>Documentation</t>
  </si>
  <si>
    <t>US-024</t>
  </si>
  <si>
    <t>T-024</t>
  </si>
  <si>
    <t>Created PowerBI Dashboard Format &amp; setup</t>
  </si>
  <si>
    <t>Design</t>
  </si>
  <si>
    <t>US-025</t>
  </si>
  <si>
    <t>T-025</t>
  </si>
  <si>
    <r>
      <rPr>
        <sz val="10"/>
        <color rgb="FF000000"/>
        <rFont val="Arial"/>
      </rPr>
      <t xml:space="preserve">Created </t>
    </r>
    <r>
      <rPr>
        <b/>
        <sz val="10"/>
        <color rgb="FF000000"/>
        <rFont val="Arial"/>
      </rPr>
      <t>Executive Dashboard</t>
    </r>
    <r>
      <rPr>
        <sz val="10"/>
        <color rgb="FF000000"/>
        <rFont val="Arial"/>
      </rPr>
      <t xml:space="preserve"> in PowerBI</t>
    </r>
  </si>
  <si>
    <t>US-026</t>
  </si>
  <si>
    <t>T-026</t>
  </si>
  <si>
    <r>
      <rPr>
        <sz val="10"/>
        <color rgb="FF000000"/>
        <rFont val="Arial"/>
      </rPr>
      <t xml:space="preserve">Created </t>
    </r>
    <r>
      <rPr>
        <b/>
        <sz val="10"/>
        <color rgb="FF000000"/>
        <rFont val="Arial"/>
      </rPr>
      <t>Workforce &amp; Demographics Dashboard</t>
    </r>
  </si>
  <si>
    <t>US-047</t>
  </si>
  <si>
    <t>T-047</t>
  </si>
  <si>
    <t>Test the RAG Platform</t>
  </si>
  <si>
    <t>Test</t>
  </si>
  <si>
    <t>US-048</t>
  </si>
  <si>
    <t>T-048</t>
  </si>
  <si>
    <r>
      <rPr>
        <sz val="10"/>
        <color rgb="FF000000"/>
        <rFont val="Arial"/>
      </rPr>
      <t xml:space="preserve">Create </t>
    </r>
    <r>
      <rPr>
        <b/>
        <sz val="10"/>
        <color rgb="FF000000"/>
        <rFont val="Arial"/>
      </rPr>
      <t>PPT Format</t>
    </r>
  </si>
  <si>
    <t>US-057</t>
  </si>
  <si>
    <t>T-057</t>
  </si>
  <si>
    <t>Finalize the GitHub Repositry</t>
  </si>
  <si>
    <t>US-058</t>
  </si>
  <si>
    <t>T-058</t>
  </si>
  <si>
    <r>
      <rPr>
        <sz val="10"/>
        <color rgb="FF000000"/>
        <rFont val="Arial"/>
      </rPr>
      <t xml:space="preserve">Updated </t>
    </r>
    <r>
      <rPr>
        <b/>
        <sz val="10"/>
        <color rgb="FF000000"/>
        <rFont val="Arial"/>
      </rPr>
      <t>Agile,unit test, defect docs</t>
    </r>
  </si>
  <si>
    <t>SPRINT 2 BACKLOG</t>
  </si>
  <si>
    <t>US-049</t>
  </si>
  <si>
    <t>T-049</t>
  </si>
  <si>
    <r>
      <rPr>
        <sz val="10"/>
        <color rgb="FF000000"/>
        <rFont val="Arial"/>
      </rPr>
      <t>Update the</t>
    </r>
    <r>
      <rPr>
        <b/>
        <sz val="10"/>
        <color rgb="FF000000"/>
        <rFont val="Arial"/>
      </rPr>
      <t xml:space="preserve"> PPT Slides</t>
    </r>
  </si>
  <si>
    <t>Disha</t>
  </si>
  <si>
    <t>US-050</t>
  </si>
  <si>
    <t>T-050</t>
  </si>
  <si>
    <r>
      <rPr>
        <sz val="10"/>
        <color rgb="FF000000"/>
        <rFont val="Arial"/>
      </rPr>
      <t xml:space="preserve">Added </t>
    </r>
    <r>
      <rPr>
        <b/>
        <sz val="10"/>
        <color rgb="FF000000"/>
        <rFont val="Arial"/>
      </rPr>
      <t xml:space="preserve">Charts </t>
    </r>
    <r>
      <rPr>
        <sz val="10"/>
        <color rgb="FF000000"/>
        <rFont val="Arial"/>
      </rPr>
      <t xml:space="preserve">&amp; </t>
    </r>
    <r>
      <rPr>
        <b/>
        <sz val="10"/>
        <color rgb="FF000000"/>
        <rFont val="Arial"/>
      </rPr>
      <t>Architecture</t>
    </r>
  </si>
  <si>
    <t>US-051</t>
  </si>
  <si>
    <t>T-051</t>
  </si>
  <si>
    <t>Finalize the PPT Slides</t>
  </si>
  <si>
    <t>US-052</t>
  </si>
  <si>
    <t>T-052</t>
  </si>
  <si>
    <t>Contributed in Github Repositry</t>
  </si>
  <si>
    <t>SPRINT 3 BACKLOG</t>
  </si>
  <si>
    <t>US-010</t>
  </si>
  <si>
    <t>T-010</t>
  </si>
  <si>
    <r>
      <rPr>
        <sz val="10"/>
        <color rgb="FF000000"/>
        <rFont val="Arial"/>
      </rPr>
      <t xml:space="preserve">Data </t>
    </r>
    <r>
      <rPr>
        <b/>
        <sz val="10"/>
        <color rgb="FF000000"/>
        <rFont val="Arial"/>
      </rPr>
      <t>Cleaning</t>
    </r>
  </si>
  <si>
    <t>Aishwarya</t>
  </si>
  <si>
    <t>US-011</t>
  </si>
  <si>
    <t>T-011</t>
  </si>
  <si>
    <r>
      <rPr>
        <sz val="10"/>
        <color rgb="FF000000"/>
        <rFont val="Arial"/>
      </rPr>
      <t xml:space="preserve">Data </t>
    </r>
    <r>
      <rPr>
        <b/>
        <sz val="10"/>
        <color rgb="FF000000"/>
        <rFont val="Arial"/>
      </rPr>
      <t>Preparation</t>
    </r>
  </si>
  <si>
    <t>US-012</t>
  </si>
  <si>
    <t>T-012</t>
  </si>
  <si>
    <t>Feature Selection</t>
  </si>
  <si>
    <t>US-013</t>
  </si>
  <si>
    <t>T-013</t>
  </si>
  <si>
    <r>
      <rPr>
        <sz val="10"/>
        <color rgb="FF000000"/>
        <rFont val="Arial"/>
      </rPr>
      <t xml:space="preserve">Data </t>
    </r>
    <r>
      <rPr>
        <b/>
        <sz val="10"/>
        <color rgb="FF000000"/>
        <rFont val="Arial"/>
      </rPr>
      <t>Preprocessing</t>
    </r>
  </si>
  <si>
    <t>US-014</t>
  </si>
  <si>
    <t>T-014</t>
  </si>
  <si>
    <t>Univariate Analysis is performed</t>
  </si>
  <si>
    <t>US-015</t>
  </si>
  <si>
    <t>T-015</t>
  </si>
  <si>
    <t>Exploratory Data Analysis</t>
  </si>
  <si>
    <t>US-016</t>
  </si>
  <si>
    <t>T-016</t>
  </si>
  <si>
    <t>Save the clean dataset</t>
  </si>
  <si>
    <t>US-017</t>
  </si>
  <si>
    <t>T-017</t>
  </si>
  <si>
    <t>Bivariate Analysis</t>
  </si>
  <si>
    <t>US-018</t>
  </si>
  <si>
    <t>T-018</t>
  </si>
  <si>
    <r>
      <rPr>
        <sz val="10"/>
        <color rgb="FF000000"/>
        <rFont val="Arial"/>
      </rPr>
      <t xml:space="preserve">Contributed in Github, &amp; </t>
    </r>
    <r>
      <rPr>
        <b/>
        <sz val="10"/>
        <color rgb="FF000000"/>
        <rFont val="Arial"/>
      </rPr>
      <t>update Repositry</t>
    </r>
  </si>
  <si>
    <t>US-035</t>
  </si>
  <si>
    <t>T-035</t>
  </si>
  <si>
    <t>Model Development</t>
  </si>
  <si>
    <t>US-036</t>
  </si>
  <si>
    <t>T-036</t>
  </si>
  <si>
    <t>Model Evaluation</t>
  </si>
  <si>
    <t>US-037</t>
  </si>
  <si>
    <t>T-037</t>
  </si>
  <si>
    <r>
      <rPr>
        <b/>
        <sz val="10"/>
        <color rgb="FF000000"/>
        <rFont val="Arial"/>
      </rPr>
      <t xml:space="preserve">Prediction </t>
    </r>
    <r>
      <rPr>
        <sz val="10"/>
        <color rgb="FF000000"/>
        <rFont val="Arial"/>
      </rPr>
      <t xml:space="preserve">&amp; </t>
    </r>
    <r>
      <rPr>
        <b/>
        <sz val="10"/>
        <color rgb="FF000000"/>
        <rFont val="Arial"/>
      </rPr>
      <t>Insights</t>
    </r>
  </si>
  <si>
    <t>SPRINT 4 BACKLOG</t>
  </si>
  <si>
    <t>US-019</t>
  </si>
  <si>
    <t>T-019</t>
  </si>
  <si>
    <t>Restore EmployeeNumber join key from raw dataset</t>
  </si>
  <si>
    <t>Pratush</t>
  </si>
  <si>
    <t>US-020</t>
  </si>
  <si>
    <t>T-020</t>
  </si>
  <si>
    <t>Design and build star schema (fact/dimension tables)</t>
  </si>
  <si>
    <t>US-021</t>
  </si>
  <si>
    <t>T-021</t>
  </si>
  <si>
    <t>Load structured data into SQLite database</t>
  </si>
  <si>
    <t>US-022</t>
  </si>
  <si>
    <t>T-022</t>
  </si>
  <si>
    <t>Validate schema with join queries</t>
  </si>
  <si>
    <t>US-023</t>
  </si>
  <si>
    <t>T-023</t>
  </si>
  <si>
    <t>Contributed in GitHub Repositry</t>
  </si>
  <si>
    <t>SPRINT 5 BACKLOG</t>
  </si>
  <si>
    <t>Sanjivani</t>
  </si>
  <si>
    <t>US-027</t>
  </si>
  <si>
    <t>T-027</t>
  </si>
  <si>
    <t>Import cleaned dataset into Power BI</t>
  </si>
  <si>
    <t>US-028</t>
  </si>
  <si>
    <t>T-028</t>
  </si>
  <si>
    <t>Create KPI cards using DAX measures</t>
  </si>
  <si>
    <t>US-029</t>
  </si>
  <si>
    <t>T-029</t>
  </si>
  <si>
    <r>
      <rPr>
        <sz val="10"/>
        <color rgb="FF000000"/>
        <rFont val="Arial"/>
      </rPr>
      <t xml:space="preserve">Designed </t>
    </r>
    <r>
      <rPr>
        <b/>
        <sz val="10"/>
        <color rgb="FF000000"/>
        <rFont val="Arial"/>
      </rPr>
      <t>Salary &amp; Experience Insights</t>
    </r>
    <r>
      <rPr>
        <sz val="10"/>
        <color rgb="FF000000"/>
        <rFont val="Arial"/>
      </rPr>
      <t xml:space="preserve"> report page</t>
    </r>
  </si>
  <si>
    <t>US-030</t>
  </si>
  <si>
    <t>T-030</t>
  </si>
  <si>
    <t>Created Experience, Tenure &amp; Compensation visuals</t>
  </si>
  <si>
    <t>US-031</t>
  </si>
  <si>
    <t>T-031</t>
  </si>
  <si>
    <r>
      <rPr>
        <sz val="10"/>
        <color rgb="FF000000"/>
        <rFont val="Arial"/>
      </rPr>
      <t xml:space="preserve">Page layout &amp; </t>
    </r>
    <r>
      <rPr>
        <b/>
        <sz val="10"/>
        <color rgb="FF000000"/>
        <rFont val="Arial"/>
      </rPr>
      <t>visual formatting</t>
    </r>
  </si>
  <si>
    <t>SPRINT 6 BACKLOG</t>
  </si>
  <si>
    <t>US-032</t>
  </si>
  <si>
    <t>T-032</t>
  </si>
  <si>
    <t>Data Visualization in PowerBI Dashboard</t>
  </si>
  <si>
    <t>Rithika</t>
  </si>
  <si>
    <t>US-033</t>
  </si>
  <si>
    <t>T-033</t>
  </si>
  <si>
    <t>US-034</t>
  </si>
  <si>
    <t>T-034</t>
  </si>
  <si>
    <r>
      <rPr>
        <sz val="10"/>
        <color rgb="FF000000"/>
        <rFont val="Arial"/>
      </rPr>
      <t xml:space="preserve">Develop </t>
    </r>
    <r>
      <rPr>
        <b/>
        <sz val="10"/>
        <color rgb="FF000000"/>
        <rFont val="Arial"/>
      </rPr>
      <t>Attrition &amp; Employee Insights Page</t>
    </r>
  </si>
  <si>
    <t>SPRINT 7 BACKLOG</t>
  </si>
  <si>
    <t>US-053</t>
  </si>
  <si>
    <t>T-053</t>
  </si>
  <si>
    <t>Moulika</t>
  </si>
  <si>
    <t>US-054</t>
  </si>
  <si>
    <t>T-054</t>
  </si>
  <si>
    <t>Create Complete Project Report docs</t>
  </si>
  <si>
    <t>US-055</t>
  </si>
  <si>
    <t>T-055</t>
  </si>
  <si>
    <t>Added Images &amp; Diagram in Reports</t>
  </si>
  <si>
    <t>US-056</t>
  </si>
  <si>
    <t>T-056</t>
  </si>
  <si>
    <r>
      <rPr>
        <sz val="10"/>
        <color rgb="FF000000"/>
        <rFont val="Arial"/>
      </rPr>
      <t xml:space="preserve">Update &amp; Finalize </t>
    </r>
    <r>
      <rPr>
        <b/>
        <sz val="10"/>
        <color rgb="FF000000"/>
        <rFont val="Arial"/>
      </rPr>
      <t>Project Report docs</t>
    </r>
  </si>
  <si>
    <t>SPRINT 8 BACKLOG</t>
  </si>
  <si>
    <t>US-038</t>
  </si>
  <si>
    <t>T-038</t>
  </si>
  <si>
    <r>
      <rPr>
        <sz val="10"/>
        <color rgb="FF000000"/>
        <rFont val="Arial"/>
      </rPr>
      <t xml:space="preserve">Prepare RAG Platform </t>
    </r>
    <r>
      <rPr>
        <b/>
        <sz val="10"/>
        <color rgb="FF000000"/>
        <rFont val="Arial"/>
      </rPr>
      <t>Implementation Plan</t>
    </r>
  </si>
  <si>
    <t>Anil</t>
  </si>
  <si>
    <t>US-039</t>
  </si>
  <si>
    <t>T-039</t>
  </si>
  <si>
    <r>
      <rPr>
        <sz val="10"/>
        <color rgb="FF000000"/>
        <rFont val="Arial"/>
      </rPr>
      <t xml:space="preserve">Development </t>
    </r>
    <r>
      <rPr>
        <b/>
        <sz val="10"/>
        <color rgb="FF000000"/>
        <rFont val="Arial"/>
      </rPr>
      <t>Roadmap, Strategy &amp; Architecture</t>
    </r>
  </si>
  <si>
    <t>US-040</t>
  </si>
  <si>
    <t>T-040</t>
  </si>
  <si>
    <t>Build and Integrate Complete RAG System</t>
  </si>
  <si>
    <t>US-041</t>
  </si>
  <si>
    <t>T-041</t>
  </si>
  <si>
    <r>
      <rPr>
        <b/>
        <sz val="10"/>
        <color rgb="FF000000"/>
        <rFont val="Arial"/>
      </rPr>
      <t>Validate, Tes</t>
    </r>
    <r>
      <rPr>
        <sz val="10"/>
        <color rgb="FF000000"/>
        <rFont val="Arial"/>
      </rPr>
      <t xml:space="preserve">t and </t>
    </r>
    <r>
      <rPr>
        <b/>
        <sz val="10"/>
        <color rgb="FF000000"/>
        <rFont val="Arial"/>
      </rPr>
      <t xml:space="preserve">Optimize </t>
    </r>
    <r>
      <rPr>
        <sz val="10"/>
        <color rgb="FF000000"/>
        <rFont val="Arial"/>
      </rPr>
      <t>RAG Platform</t>
    </r>
  </si>
  <si>
    <t>US-042</t>
  </si>
  <si>
    <t>T-042</t>
  </si>
  <si>
    <t>Fix Issues &amp; Perform Final Testing</t>
  </si>
  <si>
    <t>US-043</t>
  </si>
  <si>
    <t>T-043</t>
  </si>
  <si>
    <r>
      <rPr>
        <sz val="10"/>
        <color rgb="FF000000"/>
        <rFont val="Arial"/>
      </rPr>
      <t xml:space="preserve">Finalize </t>
    </r>
    <r>
      <rPr>
        <b/>
        <sz val="10"/>
        <color rgb="FF000000"/>
        <rFont val="Arial"/>
      </rPr>
      <t>RAG Platform</t>
    </r>
  </si>
  <si>
    <t>US-044</t>
  </si>
  <si>
    <t>T-044</t>
  </si>
  <si>
    <t>Update GitHub Repositry</t>
  </si>
  <si>
    <t>US-045</t>
  </si>
  <si>
    <t>T-045</t>
  </si>
  <si>
    <r>
      <rPr>
        <sz val="10"/>
        <color rgb="FF000000"/>
        <rFont val="Arial"/>
      </rPr>
      <t xml:space="preserve">Deploy RAG Frontend on </t>
    </r>
    <r>
      <rPr>
        <b/>
        <sz val="10"/>
        <color rgb="FF000000"/>
        <rFont val="Arial"/>
      </rPr>
      <t>Streamlit</t>
    </r>
  </si>
  <si>
    <t>US-046</t>
  </si>
  <si>
    <t>T-046</t>
  </si>
  <si>
    <r>
      <rPr>
        <sz val="10"/>
        <color rgb="FF000000"/>
        <rFont val="Arial"/>
      </rPr>
      <t xml:space="preserve">Deploy RAG Backend on </t>
    </r>
    <r>
      <rPr>
        <b/>
        <sz val="10"/>
        <color rgb="FF000000"/>
        <rFont val="Arial"/>
      </rPr>
      <t>Render</t>
    </r>
  </si>
  <si>
    <t>SPRINT 9 BACKLOG</t>
  </si>
  <si>
    <t>US-000</t>
  </si>
  <si>
    <t>T-000</t>
  </si>
  <si>
    <t>Thanvika</t>
  </si>
  <si>
    <t>1- Not Started</t>
  </si>
  <si>
    <t>SPRINT 10 BACKLOG</t>
  </si>
  <si>
    <t>Phani</t>
  </si>
  <si>
    <t>Planned Sprint</t>
  </si>
  <si>
    <t>Actual Sprint</t>
  </si>
  <si>
    <t>User Story Description</t>
  </si>
  <si>
    <t>MOSCOW</t>
  </si>
  <si>
    <t>Dependency</t>
  </si>
  <si>
    <t>Assignee</t>
  </si>
  <si>
    <t>Sprint 1</t>
  </si>
  <si>
    <t>Take responsibility for project management, including planning, coordination, and progress</t>
  </si>
  <si>
    <t>MUST HAVE</t>
  </si>
  <si>
    <t>Completed</t>
  </si>
  <si>
    <t>Create GitHub Organization for project collaboration</t>
  </si>
  <si>
    <t>None</t>
  </si>
  <si>
    <t>Create the central GitHub repository for project source code</t>
  </si>
  <si>
    <t>Invite team members as repository collaborators</t>
  </si>
  <si>
    <t>Prepare professional project README with objectives, milestones, and documentation</t>
  </si>
  <si>
    <t>Upload project datasets to GitHub repository</t>
  </si>
  <si>
    <t>Add MIT License to the repository</t>
  </si>
  <si>
    <t>SHOULD HAVE</t>
  </si>
  <si>
    <t>Define the overall project roadmap, implementation strategy, and sprint plan</t>
  </si>
  <si>
    <t>Create Executive Dashboard in Power BI</t>
  </si>
  <si>
    <t>Create Workforce &amp; Demographics Dashboard</t>
  </si>
  <si>
    <t>Define RAG Platform roadmap and implementation strategy</t>
  </si>
  <si>
    <t>Sprint 2</t>
  </si>
  <si>
    <t>Analyze HR Workforce &amp; Attrition dataset and confirm distinct values for categorical fields</t>
  </si>
  <si>
    <t>Design normalized ER diagram for the HR database schema</t>
  </si>
  <si>
    <t>Identify and fix Department-JobRole relationship issue</t>
  </si>
  <si>
    <t>Write CREATE TABLE SQL script for the normalized schema</t>
  </si>
  <si>
    <t>Set up and initialize local SQLite database with full schema</t>
  </si>
  <si>
    <t>Load and verify sample employee records across linked tables</t>
  </si>
  <si>
    <t>Test multi-table join queries to validate schema integrity</t>
  </si>
  <si>
    <t>Recreate final ER diagram in dbdiagram.io for documentation and presentation</t>
  </si>
  <si>
    <t>Document schema design decisions and share handoff files with the team</t>
  </si>
  <si>
    <t>COULD HAVE</t>
  </si>
  <si>
    <t>Sprint 3</t>
  </si>
  <si>
    <t>Complete workforce dataset cleaning module</t>
  </si>
  <si>
    <t>Perform data quality assessment on workforce dataset</t>
  </si>
  <si>
    <t>Remove redundant and constant columns from dataset</t>
  </si>
  <si>
    <t>Validate cleaned workforce dataset</t>
  </si>
  <si>
    <t>Perform outlier treatment using IQR capping</t>
  </si>
  <si>
    <t>Perform exploratory data analysis for workforce trend analysis</t>
  </si>
  <si>
    <t>Sprint 4</t>
  </si>
  <si>
    <t>Build star-schema data integration pipeline and load structured data into SQLite</t>
  </si>
  <si>
    <t>Pratyush</t>
  </si>
  <si>
    <t>Sprint 5</t>
  </si>
  <si>
    <t>Import cleaned workforce dataset into Power BI</t>
  </si>
  <si>
    <t>Develop Executive Workforce Overview report page</t>
  </si>
  <si>
    <t>Create workforce demographic visualizations</t>
  </si>
  <si>
    <t>Implement interactive slicers and validate dashboard</t>
  </si>
  <si>
    <t>Develop Salary &amp; Experience Insights report page in Power BI</t>
  </si>
  <si>
    <t>Create salary, experience &amp; tenure visuals</t>
  </si>
  <si>
    <t>Enhance Salary &amp; Experience Insights report page</t>
  </si>
  <si>
    <t>Sprint 6</t>
  </si>
  <si>
    <t>Develop employee attrition dashboard</t>
  </si>
  <si>
    <t>Format dashboard and validate report</t>
  </si>
  <si>
    <t>Sprint 8</t>
  </si>
  <si>
    <t>Prepare RAG Platform implementation plan</t>
  </si>
  <si>
    <t>Define RAG Platform development roadmap, strategy, and architecture</t>
  </si>
  <si>
    <t>Build and integrate the complete RAG System</t>
  </si>
  <si>
    <t>Validate, test, and optimize the RAG Platform</t>
  </si>
  <si>
    <t>Fix identified issues and perform final system testing</t>
  </si>
  <si>
    <t>Finalize the RAG Platform implementation</t>
  </si>
  <si>
    <t>Update and finalize the RAG Platform GitHub repository</t>
  </si>
  <si>
    <t>Deploy the RAG Platform frontend on Streamlit</t>
  </si>
  <si>
    <t>Deploy the RAG Platform backend on Render</t>
  </si>
  <si>
    <t>SL #</t>
  </si>
  <si>
    <t>Sprint #</t>
  </si>
  <si>
    <t>Sprint start date</t>
  </si>
  <si>
    <t>Sprint end date</t>
  </si>
  <si>
    <t xml:space="preserve">Team member name </t>
  </si>
  <si>
    <t>Start Doing</t>
  </si>
  <si>
    <t xml:space="preserve">Stop Doing </t>
  </si>
  <si>
    <t xml:space="preserve">Continue Doing </t>
  </si>
  <si>
    <t>Action taken</t>
  </si>
  <si>
    <t>Start detailed sprint planning and project management</t>
  </si>
  <si>
    <t>Avoid delaying requirement clarification</t>
  </si>
  <si>
    <t>Continue maintaining documentation and coordinating the team</t>
  </si>
  <si>
    <t>Created GitHub organization, repository, roadmap, assigned tasks, and established the collaboration workflow.</t>
  </si>
  <si>
    <t>Begin implementation of the database and schema design</t>
  </si>
  <si>
    <t>Avoid making assumptions without validating the dataset</t>
  </si>
  <si>
    <t>Continue documenting database decisions and testing schema integrity</t>
  </si>
  <si>
    <t>Completed ER diagram, SQL schema, SQLite database setup, and database validation.</t>
  </si>
  <si>
    <t>Start advanced EDA and feature engineering</t>
  </si>
  <si>
    <t>Avoid skipping data validation before analysis</t>
  </si>
  <si>
    <t>Continue following data cleaning and preprocessing best practices</t>
  </si>
  <si>
    <t>Completed data cleaning, preprocessing, feature selection, EDA, outlier treatment, and workforce trend analysis.</t>
  </si>
  <si>
    <t>Start validating join keys and row alignment before merging data from multiple sources</t>
  </si>
  <si>
    <t>Avoid loading data before validating join keys</t>
  </si>
  <si>
    <t>Continue validating schema integrity after each modification</t>
  </si>
  <si>
    <t>Restored EmployeeNumber, designed the dimensional schema, loaded structured data into SQLite, and validated join queries.</t>
  </si>
  <si>
    <t>Start developing the Executive Workforce Overview dashboard and create KPI measures using DAX</t>
  </si>
  <si>
    <t>Avoid creating visuals without validating DAX calculations and dataset accuracy</t>
  </si>
  <si>
    <t>Continue enhancing dashboard interactivity and visual consistency</t>
  </si>
  <si>
    <t>Created Executive Workforce Overview, Salary &amp; Experience Insights, KPI cards, charts, slicers, and formatted report pages.</t>
  </si>
  <si>
    <t>Start validating dashboard insights against the underlying workforce data</t>
  </si>
  <si>
    <t>Avoid adding visuals without checking data accuracy and report consistency</t>
  </si>
  <si>
    <t>Continue improving dashboard visualization and employee insights</t>
  </si>
  <si>
    <t>Developed Power BI data visualizations, created the Attrition &amp; Employee Insights page, and contributed updates to the GitHub repository.</t>
  </si>
  <si>
    <t>Sprint 7</t>
  </si>
  <si>
    <t>Start structuring project documentation earlier alongside development</t>
  </si>
  <si>
    <t>Avoid leaving report formatting and supporting diagrams until the final stage</t>
  </si>
  <si>
    <t>Continue maintaining clear and professional project documentation</t>
  </si>
  <si>
    <t>Created the complete project report, added relevant images and diagrams, and updated and finalized the project documentation.</t>
  </si>
  <si>
    <t>Start systematic RAG implementation, integration, and deployment validation</t>
  </si>
  <si>
    <t>Avoid postponing integration testing and deployment checks until the final stage</t>
  </si>
  <si>
    <t>Continue iterative testing, issue fixing, and maintaining the deployment environment</t>
  </si>
  <si>
    <t>Prepared the RAG implementation plan, defined architecture and strategy, built and integrated the complete RAG system, validated and optimized it, fixed issues, finalized the platform, updated the GitHub repository, and deployed the frontend on Streamlit and backend on Render.</t>
  </si>
  <si>
    <t xml:space="preserve">Sprint </t>
  </si>
  <si>
    <t>Day</t>
  </si>
  <si>
    <t>Impediments</t>
  </si>
  <si>
    <t>Action Taken</t>
  </si>
  <si>
    <t>No impediments</t>
  </si>
  <si>
    <t>Project planning initiated, GitHub Organization and repository created, and initial project structure established.</t>
  </si>
  <si>
    <t>Repository structure and documentation pending.</t>
  </si>
  <si>
    <t>Prepared README, uploaded project datasets, added MIT License, and invited team collaborators.</t>
  </si>
  <si>
    <t>Project roadmap and task allocation required further clarification.</t>
  </si>
  <si>
    <t>Defined project roadmap, implementation strategy, sprint plan, and assigned responsibilities to team members.</t>
  </si>
  <si>
    <t>No major impediments.</t>
  </si>
  <si>
    <t>Updated GitHub repository and reviewed project documentation and collaboration workflow.</t>
  </si>
  <si>
    <t>Dashboard requirements needed clarification.</t>
  </si>
  <si>
    <t>Planned Power BI dashboard structure and initiated Executive Workforce and Demographics dashboard development.</t>
  </si>
  <si>
    <t>Continued Power BI dashboard development and reviewed project progress against the sprint plan.</t>
  </si>
  <si>
    <t>RAG implementation requirements needed to be finalized.</t>
  </si>
  <si>
    <t>Defined the RAG Platform roadmap, implementation strategy, and initial technical direction.</t>
  </si>
  <si>
    <t>Continued project coordination, documentation, dashboard work, and RAG implementation planning.</t>
  </si>
  <si>
    <t>Reviewed project progress and updated required project documentation.</t>
  </si>
  <si>
    <t>Presentation structure required preparation.</t>
  </si>
  <si>
    <t>Prepared the initial PPT format and organized project presentation content.</t>
  </si>
  <si>
    <t>Presentation content required refinement.</t>
  </si>
  <si>
    <t>Updated PPT content and continued project documentation.</t>
  </si>
  <si>
    <t>Reviewed project deliverables and finalized pending repository and documentation updates.</t>
  </si>
  <si>
    <t>Final repository updates pending.</t>
  </si>
  <si>
    <t>Updated GitHub repository and completed required project materials.</t>
  </si>
  <si>
    <t>Final documentation verification required.</t>
  </si>
  <si>
    <t>Reviewed Agile, unit-test, and defect documentation and completed pending project updates.</t>
  </si>
  <si>
    <t>Dataset and database requirements required clarification.</t>
  </si>
  <si>
    <t>Analyzed the HR workforce dataset and started database/schema design activities.</t>
  </si>
  <si>
    <t>Relationship issues identified in the database schema.</t>
  </si>
  <si>
    <t>Investigated Department–JobRole relationship issues and refined the ER design.</t>
  </si>
  <si>
    <t>Schema relationships required validation.</t>
  </si>
  <si>
    <t>Created and validated the normalized database schema and SQL table definitions.</t>
  </si>
  <si>
    <t>Initialized the SQLite database and loaded sample employee records.</t>
  </si>
  <si>
    <t>Multi-table relationships required additional validation.</t>
  </si>
  <si>
    <t>Executed join queries and verified schema integrity across linked tables.</t>
  </si>
  <si>
    <t>Documentation of schema decisions pending.</t>
  </si>
  <si>
    <t>Recreated the final ER diagram and documented database design decisions.</t>
  </si>
  <si>
    <t>Shared database handoff files and updated project documentation.</t>
  </si>
  <si>
    <t>Raw dataset required cleaning and validation.</t>
  </si>
  <si>
    <t>Started workforce dataset cleaning and data quality assessment.</t>
  </si>
  <si>
    <t>Missing, redundant, and inconsistent data required handling.</t>
  </si>
  <si>
    <t>Performed data preparation, preprocessing, and removal of redundant/constant columns.</t>
  </si>
  <si>
    <t>Feature quality required validation before analysis.</t>
  </si>
  <si>
    <t>Performed feature selection, univariate analysis, and exploratory analysis.</t>
  </si>
  <si>
    <t>Potential outliers identified.</t>
  </si>
  <si>
    <t>Performed bivariate analysis and applied appropriate outlier treatment using IQR capping.</t>
  </si>
  <si>
    <t>Cleaned dataset required verification.</t>
  </si>
  <si>
    <t>Validated the cleaned dataset and saved the processed dataset for further development.</t>
  </si>
  <si>
    <t>Continued EDA and analyzed workforce trends and relationships.</t>
  </si>
  <si>
    <t>Reviewed preprocessing and analysis outputs and updated the GitHub repository.</t>
  </si>
  <si>
    <t>EmployeeNumber join key required restoration.</t>
  </si>
  <si>
    <t>Restored EmployeeNumber from the raw dataset and validated its alignment.</t>
  </si>
  <si>
    <t>Fact and dimension relationships required design.</t>
  </si>
  <si>
    <t>Designed the star-schema structure with fact and dimension tables.</t>
  </si>
  <si>
    <t>Structured data loading required validation.</t>
  </si>
  <si>
    <t>Loaded structured data into SQLite and checked data consistency.</t>
  </si>
  <si>
    <t>Join relationships required verification.</t>
  </si>
  <si>
    <t>Executed join queries and validated schema integrity and row alignment.</t>
  </si>
  <si>
    <t>Cleaned dataset required integration with Power BI.</t>
  </si>
  <si>
    <t>Imported the cleaned workforce dataset into Power BI.</t>
  </si>
  <si>
    <t>KPI calculations required validation.</t>
  </si>
  <si>
    <t>Created DAX-based KPI measures and verified calculations.</t>
  </si>
  <si>
    <t>Designed the Salary &amp; Experience Insights report page and related visualizations.</t>
  </si>
  <si>
    <t>Dashboard visual consistency required refinement.</t>
  </si>
  <si>
    <t>Created experience, tenure, salary, and compensation visuals.</t>
  </si>
  <si>
    <t>Final report formatting pending.</t>
  </si>
  <si>
    <t>Applied page layout, visual formatting, and consistency improvements.</t>
  </si>
  <si>
    <t>Dashboard insights required validation against source data.</t>
  </si>
  <si>
    <t>Reviewed Power BI data visualizations and validated dashboard outputs.</t>
  </si>
  <si>
    <t>Continued development of employee and attrition insights.</t>
  </si>
  <si>
    <t>Attrition dashboard required final refinement.</t>
  </si>
  <si>
    <t>Developed and refined the Attrition &amp; Employee Insights page.</t>
  </si>
  <si>
    <t>Reviewed dashboard visualization and formatting.</t>
  </si>
  <si>
    <t>GitHub contribution required completion.</t>
  </si>
  <si>
    <t>Updated the GitHub repository with completed dashboard work.</t>
  </si>
  <si>
    <t>Project documentation required consolidation.</t>
  </si>
  <si>
    <t>Started preparing the complete project report and organized existing project materials.</t>
  </si>
  <si>
    <t>Supporting diagrams and images were pending.</t>
  </si>
  <si>
    <t>Added relevant images and diagrams to the project report.</t>
  </si>
  <si>
    <t>Report formatting required refinement.</t>
  </si>
  <si>
    <t>Reviewed report structure, formatting, and content consistency.</t>
  </si>
  <si>
    <t>Updated and refined project documentation based on the completed project work.</t>
  </si>
  <si>
    <t>Final report review required.</t>
  </si>
  <si>
    <t>Performed final documentation review and completed pending report updates.</t>
  </si>
  <si>
    <t>RAG Platform implementation requirements required clarification.</t>
  </si>
  <si>
    <t>Prepared the RAG Platform implementation plan and defined the development approach.</t>
  </si>
  <si>
    <t>RAG architecture and workflow required finalization.</t>
  </si>
  <si>
    <t>Defined the RAG development roadmap, strategy, architecture, and system workflow.</t>
  </si>
  <si>
    <t>Reviewed the proposed RAG architecture and prepared for system implementation.</t>
  </si>
  <si>
    <t>RAG components required integration.</t>
  </si>
  <si>
    <t>Started building and integrating the complete RAG system.</t>
  </si>
  <si>
    <t>System integration required validation.</t>
  </si>
  <si>
    <t>Continued RAG system development and integration of required components.</t>
  </si>
  <si>
    <t>Completed major RAG system implementation and prepared the platform for validation.</t>
  </si>
  <si>
    <t>RAG responses and system functionality required testing.</t>
  </si>
  <si>
    <t>Validated, tested, and optimized the RAG Platform.</t>
  </si>
  <si>
    <t>Issues identified during system testing.</t>
  </si>
  <si>
    <t>Fixed identified issues and performed additional functional testing.</t>
  </si>
  <si>
    <t>Final system verification required.</t>
  </si>
  <si>
    <t>Finalized the RAG Platform and completed final testing.</t>
  </si>
  <si>
    <t>GitHub repository required final updates.</t>
  </si>
  <si>
    <t>Updated and finalized the RAG Platform GitHub repository.</t>
  </si>
  <si>
    <t>Deployment configuration required verification.</t>
  </si>
  <si>
    <t>Prepared the RAG Platform for production deployment and verified deployment requirements.</t>
  </si>
  <si>
    <t>Completed final RAG platform updates and integration checks.</t>
  </si>
  <si>
    <t>Frontend deployment pending.</t>
  </si>
  <si>
    <t>Deployed the RAG Platform frontend on Streamlit and verified its availability.</t>
  </si>
  <si>
    <t>Backend deployment pending.</t>
  </si>
  <si>
    <t>Deployed the RAG Platform backend on Render and completed deployment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</si>
</sst>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name val="Arial"/>
    </font>
    <font>
      <sz val="8"/>
      <name val="Arial"/>
      <family val="2"/>
    </font>
    <font>
      <sz val="10"/>
      <name val="Arial"/>
      <family val="2"/>
    </font>
    <font>
      <sz val="9"/>
      <color indexed="81"/>
      <name val="Tahoma"/>
      <family val="2"/>
    </font>
    <font>
      <b/>
      <sz val="10"/>
      <name val="Arial"/>
      <family val="2"/>
    </font>
    <font>
      <sz val="9"/>
      <name val="Arial"/>
      <family val="2"/>
    </font>
    <font>
      <sz val="10"/>
      <name val="Arial"/>
      <family val="2"/>
    </font>
    <font>
      <sz val="8"/>
      <name val="Arial"/>
      <family val="2"/>
    </font>
    <font>
      <sz val="10"/>
      <color rgb="FF000000"/>
      <name val="Arial"/>
      <family val="2"/>
    </font>
    <font>
      <b/>
      <sz val="10"/>
      <color theme="1"/>
      <name val="Arial"/>
      <family val="2"/>
    </font>
    <font>
      <sz val="10"/>
      <color rgb="FFFF0000"/>
      <name val="Arial"/>
      <family val="2"/>
    </font>
    <font>
      <sz val="10"/>
      <color theme="4" tint="-0.499984740745262"/>
      <name val="Arial"/>
      <family val="2"/>
    </font>
    <font>
      <sz val="10"/>
      <color theme="9" tint="-0.249977111117893"/>
      <name val="Arial"/>
      <family val="2"/>
    </font>
    <font>
      <sz val="10"/>
      <color theme="6" tint="-0.499984740745262"/>
      <name val="Arial"/>
      <family val="2"/>
    </font>
    <font>
      <b/>
      <sz val="10"/>
      <color theme="0"/>
      <name val="Arial"/>
      <family val="2"/>
    </font>
    <font>
      <b/>
      <sz val="10"/>
      <name val="Arial"/>
    </font>
    <font>
      <b/>
      <sz val="9"/>
      <name val="Arial"/>
    </font>
    <font>
      <sz val="9"/>
      <name val="Arial"/>
    </font>
    <font>
      <sz val="10"/>
      <color rgb="FF000000"/>
      <name val="Arial"/>
    </font>
    <font>
      <b/>
      <sz val="10"/>
      <color rgb="FF000000"/>
      <name val="Arial"/>
    </font>
    <font>
      <b/>
      <sz val="12"/>
      <name val="Arial"/>
    </font>
    <font>
      <sz val="12"/>
      <name val="Arial"/>
    </font>
    <font>
      <b/>
      <sz val="9"/>
      <color indexed="81"/>
      <name val="Tahoma"/>
      <family val="2"/>
    </font>
    <font>
      <b/>
      <sz val="12"/>
      <name val="Arial"/>
      <family val="2"/>
    </font>
    <font>
      <sz val="8"/>
      <name val="Arial"/>
    </font>
    <font>
      <sz val="10"/>
      <color rgb="FF0D0D0D"/>
      <name val="Arial"/>
    </font>
  </fonts>
  <fills count="27">
    <fill>
      <patternFill patternType="none"/>
    </fill>
    <fill>
      <patternFill patternType="gray125"/>
    </fill>
    <fill>
      <patternFill patternType="solid">
        <fgColor theme="9"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CFFC4"/>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41F4FA"/>
        <bgColor indexed="64"/>
      </patternFill>
    </fill>
    <fill>
      <patternFill patternType="solid">
        <fgColor rgb="FFFF96F5"/>
        <bgColor indexed="64"/>
      </patternFill>
    </fill>
    <fill>
      <patternFill patternType="solid">
        <fgColor rgb="FF87FFB5"/>
        <bgColor indexed="64"/>
      </patternFill>
    </fill>
    <fill>
      <patternFill patternType="solid">
        <fgColor rgb="FF00B0F0"/>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6">
    <xf numFmtId="0" fontId="0" fillId="0" borderId="0"/>
    <xf numFmtId="0" fontId="2" fillId="0" borderId="0"/>
    <xf numFmtId="0" fontId="2" fillId="0" borderId="0"/>
    <xf numFmtId="0" fontId="6" fillId="0" borderId="0"/>
    <xf numFmtId="0" fontId="2" fillId="0" borderId="0"/>
    <xf numFmtId="0" fontId="2" fillId="0" borderId="0"/>
  </cellStyleXfs>
  <cellXfs count="221">
    <xf numFmtId="0" fontId="0" fillId="0" borderId="0" xfId="0"/>
    <xf numFmtId="0" fontId="2"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horizontal="center" wrapText="1"/>
    </xf>
    <xf numFmtId="0" fontId="2" fillId="0" borderId="4" xfId="0" applyFont="1" applyBorder="1" applyAlignment="1">
      <alignment horizontal="center" vertical="center" wrapText="1"/>
    </xf>
    <xf numFmtId="0" fontId="2" fillId="0" borderId="4" xfId="0" applyFont="1" applyBorder="1" applyAlignment="1">
      <alignment horizontal="center" wrapText="1"/>
    </xf>
    <xf numFmtId="0" fontId="0" fillId="9" borderId="4" xfId="0" applyFill="1" applyBorder="1"/>
    <xf numFmtId="0" fontId="0" fillId="9" borderId="4" xfId="0" applyFill="1" applyBorder="1" applyAlignment="1">
      <alignment horizontal="center"/>
    </xf>
    <xf numFmtId="0" fontId="0" fillId="9" borderId="0" xfId="0" applyFill="1"/>
    <xf numFmtId="0" fontId="0" fillId="11" borderId="0" xfId="0" applyFill="1"/>
    <xf numFmtId="0" fontId="0" fillId="12" borderId="0" xfId="0" applyFill="1"/>
    <xf numFmtId="0" fontId="0" fillId="10" borderId="0" xfId="0" applyFill="1"/>
    <xf numFmtId="0" fontId="9" fillId="2" borderId="3" xfId="0" applyFont="1" applyFill="1" applyBorder="1" applyAlignment="1">
      <alignment horizontal="center" vertical="center" wrapText="1"/>
    </xf>
    <xf numFmtId="0" fontId="2" fillId="0" borderId="0" xfId="0" applyFont="1"/>
    <xf numFmtId="0" fontId="0" fillId="0" borderId="0" xfId="0" applyAlignment="1">
      <alignment horizontal="center"/>
    </xf>
    <xf numFmtId="0" fontId="0" fillId="6" borderId="1" xfId="0" applyFill="1" applyBorder="1" applyAlignment="1">
      <alignment horizontal="center"/>
    </xf>
    <xf numFmtId="0" fontId="0" fillId="6" borderId="0" xfId="0" applyFill="1"/>
    <xf numFmtId="0" fontId="2" fillId="6" borderId="1" xfId="0" applyFont="1" applyFill="1" applyBorder="1" applyAlignment="1">
      <alignment vertical="center" wrapText="1"/>
    </xf>
    <xf numFmtId="0" fontId="0" fillId="7" borderId="4" xfId="0" applyFill="1" applyBorder="1" applyAlignment="1">
      <alignment horizontal="center" vertical="center" wrapText="1"/>
    </xf>
    <xf numFmtId="15" fontId="0" fillId="7" borderId="4" xfId="0" applyNumberFormat="1" applyFill="1" applyBorder="1" applyAlignment="1">
      <alignment horizontal="center" vertical="center" wrapText="1"/>
    </xf>
    <xf numFmtId="0" fontId="0" fillId="8" borderId="4" xfId="0" applyFill="1" applyBorder="1" applyAlignment="1">
      <alignment horizontal="center" vertical="center" wrapText="1"/>
    </xf>
    <xf numFmtId="15" fontId="0" fillId="8" borderId="4" xfId="0" applyNumberFormat="1" applyFill="1" applyBorder="1" applyAlignment="1">
      <alignment horizontal="center" vertical="center" wrapText="1"/>
    </xf>
    <xf numFmtId="0" fontId="2" fillId="12" borderId="4" xfId="0" applyFont="1" applyFill="1" applyBorder="1" applyAlignment="1">
      <alignment horizontal="center" vertical="center" wrapText="1"/>
    </xf>
    <xf numFmtId="15" fontId="2" fillId="12" borderId="4" xfId="0" applyNumberFormat="1" applyFont="1" applyFill="1" applyBorder="1" applyAlignment="1">
      <alignment horizontal="center" vertical="center" wrapText="1"/>
    </xf>
    <xf numFmtId="0" fontId="10" fillId="0" borderId="0" xfId="0" applyFont="1"/>
    <xf numFmtId="0" fontId="11" fillId="0" borderId="0" xfId="0" applyFont="1"/>
    <xf numFmtId="0" fontId="12" fillId="0" borderId="0" xfId="0" applyFont="1"/>
    <xf numFmtId="0" fontId="13" fillId="0" borderId="0" xfId="0" applyFont="1"/>
    <xf numFmtId="0" fontId="2" fillId="15" borderId="0" xfId="0" applyFont="1" applyFill="1"/>
    <xf numFmtId="0" fontId="2" fillId="12" borderId="4" xfId="0" applyFont="1" applyFill="1" applyBorder="1" applyAlignment="1">
      <alignment horizontal="left" vertical="center" wrapText="1"/>
    </xf>
    <xf numFmtId="0" fontId="17" fillId="0" borderId="0" xfId="0" applyFont="1"/>
    <xf numFmtId="0" fontId="20" fillId="5" borderId="4" xfId="0" applyFont="1" applyFill="1" applyBorder="1" applyAlignment="1">
      <alignment vertical="center"/>
    </xf>
    <xf numFmtId="0" fontId="21" fillId="5" borderId="0" xfId="0" applyFont="1" applyFill="1"/>
    <xf numFmtId="0" fontId="0" fillId="0" borderId="0" xfId="0" applyAlignment="1">
      <alignment vertical="center" wrapText="1"/>
    </xf>
    <xf numFmtId="0" fontId="0" fillId="0" borderId="8" xfId="0" applyBorder="1"/>
    <xf numFmtId="0" fontId="2" fillId="6" borderId="1" xfId="0" applyFont="1" applyFill="1" applyBorder="1" applyAlignment="1">
      <alignment horizontal="center"/>
    </xf>
    <xf numFmtId="0" fontId="16" fillId="14" borderId="1" xfId="0" applyFont="1" applyFill="1" applyBorder="1" applyAlignment="1">
      <alignment horizontal="center" vertical="center" wrapText="1"/>
    </xf>
    <xf numFmtId="0" fontId="16" fillId="14" borderId="1" xfId="0" applyFont="1" applyFill="1" applyBorder="1" applyAlignment="1">
      <alignment horizontal="center" vertical="center"/>
    </xf>
    <xf numFmtId="0" fontId="16" fillId="4" borderId="1" xfId="0" applyFont="1" applyFill="1" applyBorder="1" applyAlignment="1">
      <alignment horizontal="center" vertical="center"/>
    </xf>
    <xf numFmtId="0" fontId="15" fillId="5" borderId="1" xfId="0" applyFont="1" applyFill="1" applyBorder="1" applyAlignment="1">
      <alignment horizontal="center" vertical="center" wrapText="1"/>
    </xf>
    <xf numFmtId="0" fontId="15" fillId="5" borderId="1" xfId="0" applyFont="1" applyFill="1" applyBorder="1" applyAlignment="1">
      <alignment vertical="center" wrapText="1"/>
    </xf>
    <xf numFmtId="0" fontId="2" fillId="9" borderId="1" xfId="0" applyFont="1" applyFill="1" applyBorder="1" applyAlignment="1">
      <alignment horizontal="center"/>
    </xf>
    <xf numFmtId="0" fontId="0" fillId="9" borderId="1" xfId="0" applyFill="1" applyBorder="1" applyAlignment="1">
      <alignment horizontal="center"/>
    </xf>
    <xf numFmtId="0" fontId="0" fillId="9" borderId="1" xfId="0" applyFill="1" applyBorder="1"/>
    <xf numFmtId="15" fontId="0" fillId="9" borderId="1" xfId="0" applyNumberFormat="1" applyFill="1" applyBorder="1" applyAlignment="1">
      <alignment horizontal="center"/>
    </xf>
    <xf numFmtId="0" fontId="4" fillId="9" borderId="1" xfId="0" applyFont="1" applyFill="1" applyBorder="1" applyAlignment="1">
      <alignment horizontal="center" vertical="center"/>
    </xf>
    <xf numFmtId="0" fontId="0" fillId="18" borderId="1" xfId="0" applyFill="1" applyBorder="1" applyAlignment="1">
      <alignment horizontal="center" vertical="center"/>
    </xf>
    <xf numFmtId="0" fontId="0" fillId="9" borderId="1" xfId="0" applyFill="1" applyBorder="1" applyAlignment="1">
      <alignment horizontal="center" vertical="center"/>
    </xf>
    <xf numFmtId="0" fontId="2" fillId="9" borderId="1" xfId="0" applyFont="1" applyFill="1" applyBorder="1"/>
    <xf numFmtId="0" fontId="2" fillId="7" borderId="1" xfId="0" applyFont="1" applyFill="1" applyBorder="1" applyAlignment="1">
      <alignment horizontal="center"/>
    </xf>
    <xf numFmtId="0" fontId="0" fillId="7" borderId="1" xfId="0" applyFill="1" applyBorder="1"/>
    <xf numFmtId="15" fontId="0" fillId="7" borderId="1" xfId="0" applyNumberFormat="1" applyFill="1" applyBorder="1" applyAlignment="1">
      <alignment horizontal="center"/>
    </xf>
    <xf numFmtId="0" fontId="0" fillId="7" borderId="1" xfId="0" applyFill="1" applyBorder="1" applyAlignment="1">
      <alignment horizontal="center"/>
    </xf>
    <xf numFmtId="0" fontId="4" fillId="7" borderId="1" xfId="0" applyFont="1" applyFill="1" applyBorder="1" applyAlignment="1">
      <alignment horizontal="center" vertical="center"/>
    </xf>
    <xf numFmtId="0" fontId="0" fillId="7" borderId="1" xfId="0" applyFill="1" applyBorder="1" applyAlignment="1">
      <alignment horizontal="center" vertical="center"/>
    </xf>
    <xf numFmtId="0" fontId="2" fillId="17" borderId="1" xfId="0" applyFont="1" applyFill="1" applyBorder="1" applyAlignment="1">
      <alignment horizontal="center"/>
    </xf>
    <xf numFmtId="0" fontId="0" fillId="17" borderId="1" xfId="0" applyFill="1" applyBorder="1"/>
    <xf numFmtId="15" fontId="0" fillId="17" borderId="1" xfId="0" applyNumberFormat="1" applyFill="1" applyBorder="1" applyAlignment="1">
      <alignment horizontal="center"/>
    </xf>
    <xf numFmtId="0" fontId="0" fillId="17" borderId="1" xfId="0" applyFill="1" applyBorder="1" applyAlignment="1">
      <alignment horizontal="center"/>
    </xf>
    <xf numFmtId="0" fontId="4" fillId="17" borderId="1" xfId="0" applyFont="1" applyFill="1" applyBorder="1" applyAlignment="1">
      <alignment horizontal="center" vertical="center"/>
    </xf>
    <xf numFmtId="0" fontId="0" fillId="17" borderId="1" xfId="0" applyFill="1" applyBorder="1" applyAlignment="1">
      <alignment horizontal="center" vertical="center"/>
    </xf>
    <xf numFmtId="0" fontId="2" fillId="17" borderId="1" xfId="0" applyFont="1" applyFill="1" applyBorder="1"/>
    <xf numFmtId="0" fontId="2" fillId="10" borderId="1" xfId="0" applyFont="1" applyFill="1" applyBorder="1" applyAlignment="1">
      <alignment horizontal="center"/>
    </xf>
    <xf numFmtId="0" fontId="0" fillId="10" borderId="1" xfId="0" applyFill="1" applyBorder="1"/>
    <xf numFmtId="15" fontId="0" fillId="10" borderId="1" xfId="0" applyNumberFormat="1" applyFill="1" applyBorder="1" applyAlignment="1">
      <alignment horizontal="center"/>
    </xf>
    <xf numFmtId="0" fontId="0" fillId="10" borderId="1" xfId="0" applyFill="1" applyBorder="1" applyAlignment="1">
      <alignment horizontal="center"/>
    </xf>
    <xf numFmtId="0" fontId="4" fillId="10" borderId="1" xfId="0" applyFont="1" applyFill="1" applyBorder="1" applyAlignment="1">
      <alignment horizontal="center" vertical="center"/>
    </xf>
    <xf numFmtId="0" fontId="0" fillId="10" borderId="1" xfId="0" applyFill="1" applyBorder="1" applyAlignment="1">
      <alignment horizontal="center" vertical="center"/>
    </xf>
    <xf numFmtId="0" fontId="2" fillId="10" borderId="1" xfId="0" applyFont="1" applyFill="1" applyBorder="1"/>
    <xf numFmtId="0" fontId="2" fillId="6" borderId="1" xfId="0" applyFont="1" applyFill="1" applyBorder="1"/>
    <xf numFmtId="15" fontId="0" fillId="6" borderId="1" xfId="0" applyNumberFormat="1" applyFill="1" applyBorder="1" applyAlignment="1">
      <alignment horizontal="center"/>
    </xf>
    <xf numFmtId="0" fontId="4" fillId="6" borderId="1" xfId="0" applyFont="1"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xf numFmtId="0" fontId="2" fillId="9" borderId="1" xfId="0" applyFont="1" applyFill="1" applyBorder="1" applyAlignment="1">
      <alignment vertical="center" wrapText="1"/>
    </xf>
    <xf numFmtId="0" fontId="2" fillId="10" borderId="4" xfId="0" applyFont="1" applyFill="1" applyBorder="1" applyAlignment="1">
      <alignment horizontal="center" vertical="center" wrapText="1"/>
    </xf>
    <xf numFmtId="0" fontId="2" fillId="19" borderId="4" xfId="0" applyFont="1" applyFill="1" applyBorder="1" applyAlignment="1">
      <alignment horizontal="center" vertical="center" wrapText="1"/>
    </xf>
    <xf numFmtId="15" fontId="2" fillId="19" borderId="4" xfId="0" applyNumberFormat="1" applyFont="1" applyFill="1" applyBorder="1" applyAlignment="1">
      <alignment horizontal="center" vertical="center" wrapText="1"/>
    </xf>
    <xf numFmtId="0" fontId="2" fillId="8" borderId="1" xfId="0" applyFont="1" applyFill="1" applyBorder="1" applyAlignment="1">
      <alignment horizontal="center"/>
    </xf>
    <xf numFmtId="0" fontId="2" fillId="8" borderId="1" xfId="0" applyFont="1" applyFill="1" applyBorder="1"/>
    <xf numFmtId="15" fontId="0" fillId="8" borderId="1" xfId="0" applyNumberFormat="1" applyFill="1" applyBorder="1" applyAlignment="1">
      <alignment horizontal="center"/>
    </xf>
    <xf numFmtId="0" fontId="0" fillId="8" borderId="1" xfId="0" applyFill="1" applyBorder="1" applyAlignment="1">
      <alignment horizontal="center"/>
    </xf>
    <xf numFmtId="0" fontId="4" fillId="8" borderId="1" xfId="0" applyFon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xf numFmtId="0" fontId="2" fillId="7" borderId="1" xfId="0" applyFont="1" applyFill="1" applyBorder="1"/>
    <xf numFmtId="0" fontId="2" fillId="7" borderId="1" xfId="0" applyFont="1" applyFill="1" applyBorder="1" applyAlignment="1">
      <alignment vertical="center" wrapText="1"/>
    </xf>
    <xf numFmtId="15"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xf numFmtId="0" fontId="23" fillId="5" borderId="1" xfId="0" applyFont="1" applyFill="1" applyBorder="1" applyAlignment="1">
      <alignment horizontal="center" vertical="center"/>
    </xf>
    <xf numFmtId="0" fontId="20" fillId="5" borderId="1" xfId="0" applyFont="1" applyFill="1" applyBorder="1" applyAlignment="1">
      <alignment horizontal="center" vertical="center"/>
    </xf>
    <xf numFmtId="0" fontId="18" fillId="3" borderId="1" xfId="0" applyFont="1" applyFill="1" applyBorder="1" applyAlignment="1">
      <alignment horizontal="left" vertical="center"/>
    </xf>
    <xf numFmtId="0" fontId="0" fillId="3" borderId="1" xfId="0" applyFill="1" applyBorder="1" applyAlignment="1">
      <alignment horizontal="left" vertical="center"/>
    </xf>
    <xf numFmtId="0" fontId="15" fillId="14" borderId="1" xfId="0" applyFont="1" applyFill="1" applyBorder="1" applyAlignment="1">
      <alignment horizontal="center" vertical="center"/>
    </xf>
    <xf numFmtId="0" fontId="15" fillId="14"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18" fillId="6" borderId="1" xfId="0" applyFont="1" applyFill="1" applyBorder="1"/>
    <xf numFmtId="0" fontId="18" fillId="9" borderId="1" xfId="0" applyFont="1" applyFill="1" applyBorder="1"/>
    <xf numFmtId="0" fontId="18" fillId="7" borderId="1" xfId="0" applyFont="1" applyFill="1" applyBorder="1"/>
    <xf numFmtId="0" fontId="18" fillId="17" borderId="1" xfId="0" applyFont="1" applyFill="1" applyBorder="1"/>
    <xf numFmtId="0" fontId="19" fillId="17" borderId="1" xfId="0" applyFont="1" applyFill="1" applyBorder="1"/>
    <xf numFmtId="0" fontId="18" fillId="9" borderId="1" xfId="0" applyFont="1" applyFill="1" applyBorder="1" applyAlignment="1">
      <alignment vertical="center" wrapText="1"/>
    </xf>
    <xf numFmtId="0" fontId="18" fillId="8" borderId="1" xfId="0" applyFont="1" applyFill="1" applyBorder="1"/>
    <xf numFmtId="0" fontId="18" fillId="8" borderId="1" xfId="0" applyFont="1" applyFill="1" applyBorder="1" applyAlignment="1">
      <alignment horizontal="left" vertical="center" wrapText="1"/>
    </xf>
    <xf numFmtId="0" fontId="18" fillId="6" borderId="1" xfId="0" applyFont="1" applyFill="1" applyBorder="1" applyAlignment="1">
      <alignment vertical="center" wrapText="1"/>
    </xf>
    <xf numFmtId="0" fontId="18" fillId="6" borderId="1" xfId="0" applyFont="1" applyFill="1" applyBorder="1" applyAlignment="1">
      <alignment horizontal="left" vertical="center" wrapText="1"/>
    </xf>
    <xf numFmtId="0" fontId="5" fillId="9" borderId="4" xfId="0" applyFont="1" applyFill="1" applyBorder="1" applyAlignment="1">
      <alignment horizontal="center" vertical="center" wrapText="1"/>
    </xf>
    <xf numFmtId="0" fontId="0" fillId="9" borderId="4" xfId="0" applyFill="1" applyBorder="1" applyAlignment="1">
      <alignment vertical="center" wrapText="1"/>
    </xf>
    <xf numFmtId="0" fontId="0" fillId="9" borderId="4" xfId="0" applyFill="1" applyBorder="1" applyAlignment="1">
      <alignment horizontal="center" vertical="center" wrapText="1"/>
    </xf>
    <xf numFmtId="0" fontId="2" fillId="9" borderId="4" xfId="0" applyFont="1" applyFill="1" applyBorder="1" applyAlignment="1">
      <alignment horizontal="left" vertical="center" wrapText="1"/>
    </xf>
    <xf numFmtId="0" fontId="2" fillId="9" borderId="4" xfId="0" applyFont="1" applyFill="1" applyBorder="1" applyAlignment="1">
      <alignment horizontal="center" vertical="center" wrapText="1"/>
    </xf>
    <xf numFmtId="0" fontId="2" fillId="19" borderId="4" xfId="0" applyFont="1" applyFill="1" applyBorder="1" applyAlignment="1">
      <alignment horizontal="left" vertical="center" wrapText="1"/>
    </xf>
    <xf numFmtId="0" fontId="0" fillId="10" borderId="4" xfId="0" applyFill="1" applyBorder="1" applyAlignment="1">
      <alignment horizontal="center"/>
    </xf>
    <xf numFmtId="0" fontId="0" fillId="10" borderId="4" xfId="0" applyFill="1" applyBorder="1"/>
    <xf numFmtId="0" fontId="2" fillId="20" borderId="1" xfId="0" applyFont="1" applyFill="1" applyBorder="1" applyAlignment="1">
      <alignment horizontal="center" vertical="center" wrapText="1"/>
    </xf>
    <xf numFmtId="0" fontId="0" fillId="20" borderId="1" xfId="0" applyFill="1" applyBorder="1" applyAlignment="1">
      <alignment horizontal="center"/>
    </xf>
    <xf numFmtId="0" fontId="2" fillId="20" borderId="1" xfId="0" applyFont="1" applyFill="1" applyBorder="1" applyAlignment="1">
      <alignment vertical="center" wrapText="1"/>
    </xf>
    <xf numFmtId="0" fontId="0" fillId="20" borderId="9" xfId="0" applyFill="1" applyBorder="1"/>
    <xf numFmtId="0" fontId="0" fillId="20" borderId="4" xfId="0" applyFill="1" applyBorder="1" applyAlignment="1">
      <alignment horizontal="center"/>
    </xf>
    <xf numFmtId="0" fontId="0" fillId="20" borderId="0" xfId="0" applyFill="1" applyBorder="1"/>
    <xf numFmtId="0" fontId="0" fillId="20" borderId="10" xfId="0" applyFill="1" applyBorder="1" applyAlignment="1">
      <alignment horizontal="center"/>
    </xf>
    <xf numFmtId="0" fontId="0" fillId="20" borderId="4" xfId="0" applyFill="1" applyBorder="1"/>
    <xf numFmtId="0" fontId="2" fillId="20" borderId="11" xfId="0" applyFont="1" applyFill="1" applyBorder="1" applyAlignment="1">
      <alignment horizontal="center" vertical="center" wrapText="1"/>
    </xf>
    <xf numFmtId="0" fontId="18" fillId="20" borderId="2" xfId="0" applyFont="1" applyFill="1" applyBorder="1" applyAlignment="1">
      <alignment vertical="center" wrapText="1"/>
    </xf>
    <xf numFmtId="0" fontId="5" fillId="20" borderId="4" xfId="0" applyFont="1" applyFill="1" applyBorder="1" applyAlignment="1">
      <alignment horizontal="center" vertical="center" wrapText="1"/>
    </xf>
    <xf numFmtId="0" fontId="0" fillId="21" borderId="4" xfId="0" applyFill="1" applyBorder="1" applyAlignment="1">
      <alignment horizontal="center"/>
    </xf>
    <xf numFmtId="0" fontId="0" fillId="21" borderId="4" xfId="0" applyFill="1" applyBorder="1"/>
    <xf numFmtId="0" fontId="5" fillId="21" borderId="4"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0" fillId="21" borderId="10" xfId="0" applyFill="1" applyBorder="1" applyAlignment="1">
      <alignment horizontal="center"/>
    </xf>
    <xf numFmtId="0" fontId="2" fillId="21" borderId="1" xfId="0" applyFont="1" applyFill="1" applyBorder="1" applyAlignment="1">
      <alignment vertical="center" wrapText="1"/>
    </xf>
    <xf numFmtId="0" fontId="5" fillId="21" borderId="1" xfId="0" applyFont="1" applyFill="1" applyBorder="1" applyAlignment="1">
      <alignment horizontal="center" vertical="center" wrapText="1"/>
    </xf>
    <xf numFmtId="0" fontId="0" fillId="8" borderId="4" xfId="0" applyFill="1" applyBorder="1" applyAlignment="1">
      <alignment horizontal="center"/>
    </xf>
    <xf numFmtId="0" fontId="2" fillId="8" borderId="4" xfId="0" applyFont="1" applyFill="1" applyBorder="1" applyAlignment="1">
      <alignment horizontal="center" vertical="center" wrapText="1"/>
    </xf>
    <xf numFmtId="0" fontId="5" fillId="8" borderId="4" xfId="0" applyFont="1" applyFill="1" applyBorder="1" applyAlignment="1">
      <alignment horizontal="center" vertical="center" wrapText="1"/>
    </xf>
    <xf numFmtId="0" fontId="2" fillId="21" borderId="3" xfId="0" applyFont="1" applyFill="1" applyBorder="1" applyAlignment="1">
      <alignment horizontal="center" vertical="center" wrapText="1"/>
    </xf>
    <xf numFmtId="0" fontId="0" fillId="21" borderId="5" xfId="0" applyFill="1" applyBorder="1" applyAlignment="1">
      <alignment horizontal="center"/>
    </xf>
    <xf numFmtId="0" fontId="2" fillId="21" borderId="3" xfId="0" applyFont="1" applyFill="1" applyBorder="1" applyAlignment="1">
      <alignment vertical="center" wrapText="1"/>
    </xf>
    <xf numFmtId="0" fontId="5" fillId="21" borderId="3" xfId="0" applyFont="1" applyFill="1" applyBorder="1" applyAlignment="1">
      <alignment horizontal="center" vertical="center" wrapText="1"/>
    </xf>
    <xf numFmtId="0" fontId="0" fillId="21" borderId="7" xfId="0" applyFill="1" applyBorder="1" applyAlignment="1">
      <alignment horizontal="center"/>
    </xf>
    <xf numFmtId="0" fontId="2" fillId="8" borderId="4" xfId="0" applyFont="1" applyFill="1" applyBorder="1" applyAlignment="1">
      <alignment horizontal="left" vertical="center" wrapText="1"/>
    </xf>
    <xf numFmtId="0" fontId="0" fillId="8" borderId="4" xfId="0" applyFill="1" applyBorder="1" applyAlignment="1">
      <alignment horizontal="left"/>
    </xf>
    <xf numFmtId="0" fontId="2" fillId="22" borderId="1" xfId="0" applyFont="1" applyFill="1" applyBorder="1" applyAlignment="1">
      <alignment horizontal="center" vertical="center" wrapText="1"/>
    </xf>
    <xf numFmtId="0" fontId="0" fillId="22" borderId="1" xfId="0" applyFill="1" applyBorder="1" applyAlignment="1">
      <alignment horizontal="center"/>
    </xf>
    <xf numFmtId="0" fontId="2" fillId="22" borderId="1" xfId="0" applyFont="1" applyFill="1" applyBorder="1" applyAlignment="1">
      <alignment vertical="center" wrapText="1"/>
    </xf>
    <xf numFmtId="0" fontId="2" fillId="10" borderId="4" xfId="0" applyFont="1" applyFill="1" applyBorder="1" applyAlignment="1">
      <alignment horizontal="left" vertical="center" wrapText="1"/>
    </xf>
    <xf numFmtId="0" fontId="0" fillId="10" borderId="4" xfId="0" applyFill="1" applyBorder="1" applyAlignment="1">
      <alignment vertical="center" wrapText="1"/>
    </xf>
    <xf numFmtId="0" fontId="5" fillId="10" borderId="4" xfId="0" applyFont="1" applyFill="1" applyBorder="1" applyAlignment="1">
      <alignment horizontal="center" vertical="center" wrapText="1"/>
    </xf>
    <xf numFmtId="0" fontId="0" fillId="24" borderId="4" xfId="0" applyFill="1" applyBorder="1" applyAlignment="1">
      <alignment horizontal="center"/>
    </xf>
    <xf numFmtId="0" fontId="0" fillId="24" borderId="4" xfId="0" applyFill="1" applyBorder="1"/>
    <xf numFmtId="0" fontId="2" fillId="24" borderId="2" xfId="0" applyFont="1" applyFill="1" applyBorder="1" applyAlignment="1">
      <alignment horizontal="center" vertical="center" wrapText="1"/>
    </xf>
    <xf numFmtId="0" fontId="0" fillId="24" borderId="2" xfId="0" applyFill="1" applyBorder="1" applyAlignment="1">
      <alignment horizontal="center"/>
    </xf>
    <xf numFmtId="0" fontId="8" fillId="24" borderId="2" xfId="0" applyFont="1" applyFill="1" applyBorder="1" applyAlignment="1">
      <alignment vertical="center" wrapText="1"/>
    </xf>
    <xf numFmtId="0" fontId="5" fillId="24" borderId="2" xfId="0" applyFont="1" applyFill="1" applyBorder="1" applyAlignment="1">
      <alignment horizontal="center" vertical="center" wrapText="1"/>
    </xf>
    <xf numFmtId="0" fontId="8" fillId="24" borderId="2" xfId="0" applyFont="1" applyFill="1" applyBorder="1" applyAlignment="1">
      <alignment horizontal="center" vertical="center" wrapText="1"/>
    </xf>
    <xf numFmtId="0" fontId="2" fillId="24" borderId="1" xfId="0" applyFont="1" applyFill="1" applyBorder="1" applyAlignment="1">
      <alignment horizontal="center" vertical="center" wrapText="1"/>
    </xf>
    <xf numFmtId="0" fontId="2" fillId="24" borderId="1" xfId="0" applyFont="1" applyFill="1" applyBorder="1" applyAlignment="1">
      <alignment horizontal="center"/>
    </xf>
    <xf numFmtId="0" fontId="8" fillId="24" borderId="1" xfId="0" applyFont="1" applyFill="1" applyBorder="1" applyAlignment="1">
      <alignment vertical="center" wrapText="1"/>
    </xf>
    <xf numFmtId="0" fontId="18" fillId="24" borderId="1" xfId="0" applyFont="1" applyFill="1" applyBorder="1" applyAlignment="1">
      <alignment horizontal="center" vertical="center" wrapText="1"/>
    </xf>
    <xf numFmtId="0" fontId="2" fillId="24" borderId="1" xfId="0" applyFont="1" applyFill="1" applyBorder="1" applyAlignment="1">
      <alignment horizontal="left" vertical="center" wrapText="1"/>
    </xf>
    <xf numFmtId="0" fontId="0" fillId="24" borderId="4" xfId="0" applyFill="1" applyBorder="1" applyAlignment="1">
      <alignment horizontal="center" vertical="center" wrapText="1"/>
    </xf>
    <xf numFmtId="15" fontId="2" fillId="24" borderId="4" xfId="0" applyNumberFormat="1" applyFont="1" applyFill="1" applyBorder="1" applyAlignment="1">
      <alignment horizontal="center" vertical="center" wrapText="1"/>
    </xf>
    <xf numFmtId="0" fontId="2" fillId="24" borderId="4" xfId="0" applyFont="1" applyFill="1" applyBorder="1" applyAlignment="1">
      <alignment horizontal="center" vertical="center" wrapText="1"/>
    </xf>
    <xf numFmtId="0" fontId="0" fillId="23" borderId="4" xfId="0" applyFill="1" applyBorder="1" applyAlignment="1">
      <alignment horizontal="center" vertical="center" wrapText="1"/>
    </xf>
    <xf numFmtId="15" fontId="2" fillId="23" borderId="4" xfId="0" applyNumberFormat="1" applyFont="1" applyFill="1" applyBorder="1" applyAlignment="1">
      <alignment horizontal="center" vertical="center" wrapText="1"/>
    </xf>
    <xf numFmtId="0" fontId="2" fillId="23" borderId="4" xfId="0" applyFont="1" applyFill="1" applyBorder="1" applyAlignment="1">
      <alignment horizontal="center" vertical="center" wrapText="1"/>
    </xf>
    <xf numFmtId="0" fontId="0" fillId="19" borderId="4" xfId="0" applyFill="1" applyBorder="1" applyAlignment="1">
      <alignment horizontal="center" vertical="center" wrapText="1"/>
    </xf>
    <xf numFmtId="15" fontId="2" fillId="8" borderId="4" xfId="0" applyNumberFormat="1" applyFont="1" applyFill="1" applyBorder="1" applyAlignment="1">
      <alignment horizontal="center" vertical="center" wrapText="1"/>
    </xf>
    <xf numFmtId="0" fontId="0" fillId="7" borderId="4" xfId="0" applyFill="1" applyBorder="1" applyAlignment="1">
      <alignment horizontal="left" vertical="center" wrapText="1"/>
    </xf>
    <xf numFmtId="0" fontId="2" fillId="7" borderId="4" xfId="0" applyFont="1" applyFill="1" applyBorder="1" applyAlignment="1">
      <alignment horizontal="left" vertical="center" wrapText="1"/>
    </xf>
    <xf numFmtId="0" fontId="0" fillId="8" borderId="4" xfId="0" applyFill="1" applyBorder="1" applyAlignment="1">
      <alignment horizontal="left" vertical="center" wrapText="1"/>
    </xf>
    <xf numFmtId="0" fontId="25" fillId="24" borderId="4" xfId="0" applyFont="1" applyFill="1" applyBorder="1" applyAlignment="1">
      <alignment horizontal="left" vertical="center" wrapText="1"/>
    </xf>
    <xf numFmtId="0" fontId="2" fillId="24" borderId="4" xfId="0" applyFont="1" applyFill="1" applyBorder="1" applyAlignment="1">
      <alignment horizontal="left" vertical="center" wrapText="1"/>
    </xf>
    <xf numFmtId="0" fontId="2" fillId="23" borderId="4" xfId="0" applyFont="1" applyFill="1" applyBorder="1" applyAlignment="1">
      <alignment horizontal="left" vertical="center" wrapText="1"/>
    </xf>
    <xf numFmtId="0" fontId="25" fillId="8" borderId="4" xfId="0" applyFont="1" applyFill="1" applyBorder="1" applyAlignment="1">
      <alignment horizontal="left" vertical="center" wrapText="1"/>
    </xf>
    <xf numFmtId="0" fontId="0" fillId="13" borderId="6" xfId="0" applyFill="1" applyBorder="1" applyAlignment="1">
      <alignment horizontal="center" vertical="center" wrapText="1"/>
    </xf>
    <xf numFmtId="15" fontId="0" fillId="13" borderId="6" xfId="0" applyNumberFormat="1" applyFill="1" applyBorder="1" applyAlignment="1">
      <alignment horizontal="center" vertical="center" wrapText="1"/>
    </xf>
    <xf numFmtId="0" fontId="0" fillId="13" borderId="6" xfId="0" applyFill="1" applyBorder="1" applyAlignment="1">
      <alignment horizontal="left" vertical="center" wrapText="1"/>
    </xf>
    <xf numFmtId="0" fontId="4" fillId="25" borderId="4" xfId="0" applyFont="1" applyFill="1" applyBorder="1" applyAlignment="1">
      <alignment horizontal="center" vertical="center" wrapText="1"/>
    </xf>
    <xf numFmtId="0" fontId="0" fillId="25" borderId="6" xfId="0" applyFill="1" applyBorder="1" applyAlignment="1">
      <alignment horizontal="center" vertical="center" wrapText="1"/>
    </xf>
    <xf numFmtId="0" fontId="0" fillId="25" borderId="4" xfId="0" applyFill="1" applyBorder="1" applyAlignment="1">
      <alignment horizontal="center" vertical="center" wrapText="1"/>
    </xf>
    <xf numFmtId="0" fontId="0" fillId="15" borderId="13" xfId="0" applyFill="1" applyBorder="1"/>
    <xf numFmtId="0" fontId="0" fillId="15" borderId="14" xfId="0" applyFill="1" applyBorder="1"/>
    <xf numFmtId="0" fontId="0" fillId="6" borderId="13" xfId="0" applyFill="1" applyBorder="1"/>
    <xf numFmtId="0" fontId="0" fillId="6" borderId="14" xfId="0" applyFill="1" applyBorder="1"/>
    <xf numFmtId="0" fontId="0" fillId="10" borderId="13" xfId="0" applyFill="1" applyBorder="1"/>
    <xf numFmtId="0" fontId="0" fillId="10" borderId="14" xfId="0" applyFill="1" applyBorder="1"/>
    <xf numFmtId="0" fontId="0" fillId="7" borderId="13" xfId="0" applyFill="1" applyBorder="1"/>
    <xf numFmtId="0" fontId="0" fillId="7" borderId="14" xfId="0" applyFill="1" applyBorder="1"/>
    <xf numFmtId="0" fontId="0" fillId="5" borderId="13" xfId="0" applyFill="1" applyBorder="1"/>
    <xf numFmtId="0" fontId="0" fillId="5" borderId="14" xfId="0" applyFill="1" applyBorder="1"/>
    <xf numFmtId="0" fontId="0" fillId="9" borderId="13" xfId="0" applyFill="1" applyBorder="1"/>
    <xf numFmtId="0" fontId="0" fillId="9" borderId="14" xfId="0" applyFill="1" applyBorder="1"/>
    <xf numFmtId="0" fontId="0" fillId="17" borderId="13" xfId="0" applyFill="1" applyBorder="1"/>
    <xf numFmtId="0" fontId="0" fillId="17" borderId="14" xfId="0" applyFill="1" applyBorder="1"/>
    <xf numFmtId="0" fontId="0" fillId="26" borderId="13" xfId="0" applyFill="1" applyBorder="1"/>
    <xf numFmtId="0" fontId="0" fillId="26" borderId="14" xfId="0" applyFill="1" applyBorder="1"/>
    <xf numFmtId="0" fontId="0" fillId="26" borderId="12" xfId="0" applyFill="1" applyBorder="1"/>
    <xf numFmtId="0" fontId="14" fillId="16" borderId="7" xfId="0" applyFont="1" applyFill="1" applyBorder="1" applyAlignment="1">
      <alignment horizontal="center" vertical="center" wrapText="1"/>
    </xf>
    <xf numFmtId="0" fontId="0" fillId="15" borderId="7" xfId="0" applyFill="1" applyBorder="1"/>
    <xf numFmtId="0" fontId="0" fillId="15" borderId="15" xfId="0" applyFill="1" applyBorder="1"/>
    <xf numFmtId="0" fontId="0" fillId="6" borderId="7" xfId="0" applyFill="1" applyBorder="1"/>
    <xf numFmtId="0" fontId="0" fillId="6" borderId="15" xfId="0" applyFill="1" applyBorder="1"/>
    <xf numFmtId="0" fontId="0" fillId="10" borderId="7" xfId="0" applyFill="1" applyBorder="1"/>
    <xf numFmtId="0" fontId="0" fillId="10" borderId="15" xfId="0" applyFill="1" applyBorder="1"/>
    <xf numFmtId="0" fontId="0" fillId="7" borderId="7" xfId="0" applyFill="1" applyBorder="1"/>
    <xf numFmtId="0" fontId="0" fillId="7" borderId="15" xfId="0" applyFill="1" applyBorder="1"/>
    <xf numFmtId="0" fontId="0" fillId="5" borderId="7" xfId="0" applyFill="1" applyBorder="1"/>
    <xf numFmtId="0" fontId="0" fillId="5" borderId="15" xfId="0" applyFill="1" applyBorder="1"/>
    <xf numFmtId="0" fontId="0" fillId="9" borderId="7" xfId="0" applyFill="1" applyBorder="1"/>
    <xf numFmtId="0" fontId="0" fillId="9" borderId="15" xfId="0" applyFill="1" applyBorder="1"/>
    <xf numFmtId="0" fontId="0" fillId="17" borderId="7" xfId="0" applyFill="1" applyBorder="1"/>
    <xf numFmtId="0" fontId="0" fillId="17" borderId="15" xfId="0" applyFill="1" applyBorder="1"/>
    <xf numFmtId="0" fontId="0" fillId="26" borderId="7" xfId="0" applyFill="1" applyBorder="1"/>
    <xf numFmtId="0" fontId="0" fillId="26" borderId="15" xfId="0" applyFill="1" applyBorder="1"/>
    <xf numFmtId="0" fontId="0" fillId="26" borderId="6" xfId="0" applyFill="1" applyBorder="1"/>
    <xf numFmtId="0" fontId="14" fillId="16" borderId="13" xfId="0" applyFont="1" applyFill="1" applyBorder="1" applyAlignment="1">
      <alignment horizontal="center" vertical="center" wrapText="1"/>
    </xf>
    <xf numFmtId="0" fontId="0" fillId="0" borderId="14" xfId="0" applyBorder="1" applyAlignment="1">
      <alignment horizontal="center"/>
    </xf>
    <xf numFmtId="0" fontId="0" fillId="0" borderId="15" xfId="0" applyBorder="1"/>
    <xf numFmtId="0" fontId="0" fillId="0" borderId="14" xfId="0" applyBorder="1"/>
  </cellXfs>
  <cellStyles count="6">
    <cellStyle name="Jun" xfId="1" xr:uid="{32A56836-1BDD-4B44-870A-50A71EA69AE5}"/>
    <cellStyle name="Normal" xfId="0" builtinId="0"/>
    <cellStyle name="Normal 2" xfId="2" xr:uid="{EA2EE546-D12D-4943-B473-733E08EA1954}"/>
    <cellStyle name="Normal 3" xfId="3" xr:uid="{36300A7E-A8D8-4247-84F5-EF4ADCF4C7EC}"/>
    <cellStyle name="Normal 3 2" xfId="4" xr:uid="{0165DFA1-477E-47DD-AE73-365C0D66633A}"/>
    <cellStyle name="Normal 4 2" xfId="5" xr:uid="{81236348-6893-4146-924C-0D096CCCFC34}"/>
  </cellStyles>
  <dxfs count="0"/>
  <tableStyles count="0" defaultTableStyle="TableStyleMedium9" defaultPivotStyle="PivotStyleLight16"/>
  <colors>
    <mruColors>
      <color rgb="FFFCFFC4"/>
      <color rgb="FFFF96F5"/>
      <color rgb="FF87FFB5"/>
      <color rgb="FF5CF797"/>
      <color rgb="FF41F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529A-3DAA-4379-879C-C309B4978742}">
  <sheetPr>
    <tabColor rgb="FFFFFF00"/>
    <pageSetUpPr fitToPage="1"/>
  </sheetPr>
  <dimension ref="A1:CL96"/>
  <sheetViews>
    <sheetView zoomScale="99" zoomScaleNormal="99" workbookViewId="0">
      <selection activeCell="F12" sqref="F12"/>
    </sheetView>
  </sheetViews>
  <sheetFormatPr defaultRowHeight="12.75" customHeight="1"/>
  <cols>
    <col min="1" max="1" width="11.28515625" style="14" customWidth="1"/>
    <col min="2" max="2" width="11" style="14" customWidth="1"/>
    <col min="3" max="3" width="47.5703125" customWidth="1"/>
    <col min="4" max="4" width="12" style="14" customWidth="1"/>
    <col min="5" max="5" width="12.5703125" style="14" customWidth="1"/>
    <col min="6" max="6" width="11" style="14" customWidth="1"/>
    <col min="7" max="7" width="13.7109375" style="14" customWidth="1"/>
    <col min="8" max="8" width="14.42578125" style="14" customWidth="1"/>
    <col min="9" max="9" width="9" customWidth="1"/>
    <col min="12" max="12" width="8.85546875" bestFit="1" customWidth="1"/>
  </cols>
  <sheetData>
    <row r="1" spans="1:90" ht="18.75" customHeight="1">
      <c r="A1" s="92" t="s">
        <v>0</v>
      </c>
      <c r="B1" s="93"/>
      <c r="C1" s="93"/>
      <c r="D1" s="93"/>
      <c r="E1" s="93"/>
      <c r="F1" s="93"/>
      <c r="G1" s="93"/>
      <c r="H1" s="93"/>
      <c r="I1" s="93"/>
      <c r="J1" s="93"/>
      <c r="K1" s="93"/>
      <c r="L1" s="93"/>
      <c r="M1" s="93"/>
      <c r="N1" s="93"/>
      <c r="O1" s="93"/>
      <c r="P1" s="93"/>
      <c r="Q1" s="93"/>
      <c r="R1" s="93"/>
      <c r="S1" s="93"/>
      <c r="T1" s="93"/>
      <c r="U1" s="93"/>
      <c r="V1" s="93"/>
      <c r="W1" s="93"/>
    </row>
    <row r="2" spans="1:90" s="30" customFormat="1" ht="39" customHeight="1">
      <c r="A2" s="94" t="s">
        <v>1</v>
      </c>
      <c r="B2" s="94" t="s">
        <v>2</v>
      </c>
      <c r="C2" s="94" t="s">
        <v>3</v>
      </c>
      <c r="D2" s="95" t="s">
        <v>4</v>
      </c>
      <c r="E2" s="96" t="s">
        <v>5</v>
      </c>
      <c r="F2" s="95" t="s">
        <v>6</v>
      </c>
      <c r="G2" s="94" t="s">
        <v>7</v>
      </c>
      <c r="H2" s="94" t="s">
        <v>8</v>
      </c>
      <c r="I2" s="36" t="s">
        <v>9</v>
      </c>
      <c r="J2" s="37" t="s">
        <v>10</v>
      </c>
      <c r="K2" s="37" t="s">
        <v>11</v>
      </c>
      <c r="L2" s="37" t="s">
        <v>12</v>
      </c>
      <c r="M2" s="37" t="s">
        <v>13</v>
      </c>
      <c r="N2" s="37" t="s">
        <v>14</v>
      </c>
      <c r="O2" s="37" t="s">
        <v>15</v>
      </c>
      <c r="P2" s="37" t="s">
        <v>16</v>
      </c>
      <c r="Q2" s="37" t="s">
        <v>17</v>
      </c>
      <c r="R2" s="37" t="s">
        <v>18</v>
      </c>
      <c r="S2" s="37" t="s">
        <v>19</v>
      </c>
      <c r="T2" s="37" t="s">
        <v>20</v>
      </c>
      <c r="U2" s="37" t="s">
        <v>21</v>
      </c>
      <c r="V2" s="37" t="s">
        <v>22</v>
      </c>
      <c r="W2" s="37" t="s">
        <v>23</v>
      </c>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row>
    <row r="3" spans="1:90" s="30" customFormat="1" ht="27" customHeight="1">
      <c r="A3" s="94"/>
      <c r="B3" s="94"/>
      <c r="C3" s="94"/>
      <c r="D3" s="95"/>
      <c r="E3" s="95"/>
      <c r="F3" s="95"/>
      <c r="G3" s="94"/>
      <c r="H3" s="94"/>
      <c r="I3" s="38">
        <f>SUM(J3:W3)</f>
        <v>211</v>
      </c>
      <c r="J3" s="38">
        <f>SUM(J6:J22,J25:J29,J32:J44,J47:J52,J55:J61,J64:J67,J70:J74,J77:J86,J89:J91,J94:J96)</f>
        <v>14</v>
      </c>
      <c r="K3" s="38">
        <f>SUM(K6:K22,K25:K29,K32:K44,K47:K52,K55:K61,K64:K67,K70:K74,K77:K86,K89:K91,K94:K96)</f>
        <v>20</v>
      </c>
      <c r="L3" s="38">
        <f>SUM(L6:L22,L25:L29,L32:L44,L47:L52,L55:L61,L64:L67,L70:L74,L77:L86,L89:L91,L94:L96)</f>
        <v>26.5</v>
      </c>
      <c r="M3" s="38">
        <f>SUM(M6:M22,M25:M29,M32:M44,M47:M52,M55:M61,M64:M67,M70:M74,M77:M86,M89:M91,M94:M96)</f>
        <v>15.5</v>
      </c>
      <c r="N3" s="38">
        <f>SUM(N6:N22,N25:N29,N32:N44,N47:N52,N55:N61,N64:N67,N70:N74,N77:N86,N89:N91,N94:N96)</f>
        <v>9</v>
      </c>
      <c r="O3" s="38">
        <f>SUM(O6:O22,O25:O29,O32:O44,O47:O52,O55:O61,O64:O67,O70:O74,O77:O86,O89:O91,O94:O96)</f>
        <v>12.5</v>
      </c>
      <c r="P3" s="38">
        <f>SUM(P6:P22,P25:P29,P32:P44,P47:P52,P55:P61,P64:P67,P70:P74,P77:P86,P89:P91,P94:P96)</f>
        <v>17.5</v>
      </c>
      <c r="Q3" s="38">
        <f>SUM(Q6:Q22,Q25:Q29,Q32:Q44,Q47:Q52,Q55:Q61,Q64:Q67,Q70:Q74,Q77:Q86,Q89:Q91,Q94:Q96)</f>
        <v>13</v>
      </c>
      <c r="R3" s="38">
        <f>SUM(R6:R22,R25:R29,R32:R44,R47:R52,R55:R61,R64:R67,R70:R74,R77:R86,R89:R91,R94:R96)</f>
        <v>10</v>
      </c>
      <c r="S3" s="38">
        <f>SUM(S6:S22,S25:S29,S32:S44,S47:S52,S55:S61,S64:S67,S70:S74,S77:S86,S89:S91,S94:S96)</f>
        <v>17</v>
      </c>
      <c r="T3" s="38">
        <f>SUM(T6:T22,T25:T29,T32:T44,T47:T52,T55:T61,T64:T67,T70:T74,T77:T86,T89:T91,T94:T96)</f>
        <v>26</v>
      </c>
      <c r="U3" s="38">
        <f>SUM(U6:U22,U25:U29,U32:U44,U47:U52,U55:U61,U64:U67,U70:U74,U77:U86,U89:U91,U94:U96)</f>
        <v>12</v>
      </c>
      <c r="V3" s="38">
        <f>SUM(V6:V22,V25:V29,V32:V44,V47:V52,V55:V61,V64:V67,V70:V74,V77:V86,V89:V91,V94:V96)</f>
        <v>11</v>
      </c>
      <c r="W3" s="38">
        <f>SUM(W6:W22,W25:W29,W32:W44,W47:W52,W55:W61,W64:W67,W70:W74,W77:W86,W89:W91,W94:W96)</f>
        <v>7</v>
      </c>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row>
    <row r="4" spans="1:90" s="31" customFormat="1" ht="27.75" customHeight="1">
      <c r="A4" s="91" t="s">
        <v>24</v>
      </c>
      <c r="B4" s="91"/>
      <c r="C4" s="91"/>
      <c r="D4" s="91"/>
      <c r="E4" s="91"/>
      <c r="F4" s="91"/>
      <c r="G4" s="91"/>
      <c r="H4" s="91"/>
      <c r="I4" s="91"/>
      <c r="J4" s="91"/>
      <c r="K4" s="91"/>
      <c r="L4" s="91"/>
      <c r="M4" s="91"/>
      <c r="N4" s="91"/>
      <c r="O4" s="91"/>
      <c r="P4" s="91"/>
      <c r="Q4" s="91"/>
      <c r="R4" s="91"/>
      <c r="S4" s="91"/>
      <c r="T4" s="91"/>
      <c r="U4" s="91"/>
      <c r="V4" s="91"/>
      <c r="W4" s="91"/>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row>
    <row r="5" spans="1:90" s="33" customFormat="1" ht="28.5" customHeight="1">
      <c r="A5" s="39" t="s">
        <v>1</v>
      </c>
      <c r="B5" s="39" t="s">
        <v>2</v>
      </c>
      <c r="C5" s="40" t="s">
        <v>3</v>
      </c>
      <c r="D5" s="39" t="s">
        <v>25</v>
      </c>
      <c r="E5" s="39" t="s">
        <v>26</v>
      </c>
      <c r="F5" s="39" t="s">
        <v>6</v>
      </c>
      <c r="G5" s="39" t="s">
        <v>7</v>
      </c>
      <c r="H5" s="39" t="s">
        <v>8</v>
      </c>
      <c r="I5" s="39" t="s">
        <v>27</v>
      </c>
      <c r="J5" s="39" t="s">
        <v>10</v>
      </c>
      <c r="K5" s="39" t="s">
        <v>11</v>
      </c>
      <c r="L5" s="39" t="s">
        <v>12</v>
      </c>
      <c r="M5" s="39" t="s">
        <v>13</v>
      </c>
      <c r="N5" s="39" t="s">
        <v>14</v>
      </c>
      <c r="O5" s="39" t="s">
        <v>15</v>
      </c>
      <c r="P5" s="39" t="s">
        <v>16</v>
      </c>
      <c r="Q5" s="39" t="s">
        <v>17</v>
      </c>
      <c r="R5" s="39" t="s">
        <v>18</v>
      </c>
      <c r="S5" s="39" t="s">
        <v>19</v>
      </c>
      <c r="T5" s="39" t="s">
        <v>20</v>
      </c>
      <c r="U5" s="39" t="s">
        <v>21</v>
      </c>
      <c r="V5" s="39" t="s">
        <v>22</v>
      </c>
      <c r="W5" s="39" t="s">
        <v>23</v>
      </c>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row>
    <row r="6" spans="1:90" ht="15" customHeight="1">
      <c r="A6" s="41" t="s">
        <v>28</v>
      </c>
      <c r="B6" s="42" t="s">
        <v>29</v>
      </c>
      <c r="C6" s="43" t="s">
        <v>30</v>
      </c>
      <c r="D6" s="44">
        <v>46234</v>
      </c>
      <c r="E6" s="44">
        <v>46280</v>
      </c>
      <c r="F6" s="41" t="s">
        <v>31</v>
      </c>
      <c r="G6" s="42" t="s">
        <v>32</v>
      </c>
      <c r="H6" s="41" t="s">
        <v>33</v>
      </c>
      <c r="I6" s="45">
        <f>SUM(J6:W6)</f>
        <v>15</v>
      </c>
      <c r="J6" s="46">
        <v>3</v>
      </c>
      <c r="K6" s="46">
        <v>2</v>
      </c>
      <c r="L6" s="46">
        <v>2</v>
      </c>
      <c r="M6" s="47">
        <v>0</v>
      </c>
      <c r="N6" s="46">
        <v>1</v>
      </c>
      <c r="O6" s="46">
        <v>1</v>
      </c>
      <c r="P6" s="47">
        <v>0</v>
      </c>
      <c r="Q6" s="46">
        <v>2</v>
      </c>
      <c r="R6" s="46">
        <v>1</v>
      </c>
      <c r="S6" s="47">
        <v>0</v>
      </c>
      <c r="T6" s="46">
        <v>1</v>
      </c>
      <c r="U6" s="47">
        <v>0</v>
      </c>
      <c r="V6" s="46">
        <v>1</v>
      </c>
      <c r="W6" s="46">
        <v>1</v>
      </c>
    </row>
    <row r="7" spans="1:90" ht="15" customHeight="1">
      <c r="A7" s="41" t="s">
        <v>34</v>
      </c>
      <c r="B7" s="42" t="s">
        <v>35</v>
      </c>
      <c r="C7" s="43" t="s">
        <v>36</v>
      </c>
      <c r="D7" s="44">
        <v>46234</v>
      </c>
      <c r="E7" s="44">
        <v>46234</v>
      </c>
      <c r="F7" s="41" t="s">
        <v>31</v>
      </c>
      <c r="G7" s="42" t="s">
        <v>37</v>
      </c>
      <c r="H7" s="41" t="s">
        <v>33</v>
      </c>
      <c r="I7" s="45">
        <f t="shared" ref="I7:I21" si="0">SUM(J7:W7)</f>
        <v>2</v>
      </c>
      <c r="J7" s="46">
        <v>2</v>
      </c>
      <c r="K7" s="47">
        <v>0</v>
      </c>
      <c r="L7" s="47">
        <v>0</v>
      </c>
      <c r="M7" s="47">
        <v>0</v>
      </c>
      <c r="N7" s="47">
        <v>0</v>
      </c>
      <c r="O7" s="47">
        <v>0</v>
      </c>
      <c r="P7" s="47">
        <v>0</v>
      </c>
      <c r="Q7" s="47">
        <v>0</v>
      </c>
      <c r="R7" s="47">
        <v>0</v>
      </c>
      <c r="S7" s="47">
        <v>0</v>
      </c>
      <c r="T7" s="47">
        <v>0</v>
      </c>
      <c r="U7" s="47">
        <v>0</v>
      </c>
      <c r="V7" s="47">
        <v>0</v>
      </c>
      <c r="W7" s="47">
        <v>0</v>
      </c>
    </row>
    <row r="8" spans="1:90" ht="15" customHeight="1">
      <c r="A8" s="41" t="s">
        <v>38</v>
      </c>
      <c r="B8" s="42" t="s">
        <v>39</v>
      </c>
      <c r="C8" s="98" t="s">
        <v>40</v>
      </c>
      <c r="D8" s="44">
        <v>46234</v>
      </c>
      <c r="E8" s="44">
        <v>46234</v>
      </c>
      <c r="F8" s="41" t="s">
        <v>31</v>
      </c>
      <c r="G8" s="42" t="s">
        <v>37</v>
      </c>
      <c r="H8" s="41" t="s">
        <v>33</v>
      </c>
      <c r="I8" s="45">
        <f t="shared" si="0"/>
        <v>2</v>
      </c>
      <c r="J8" s="46">
        <v>2</v>
      </c>
      <c r="K8" s="47">
        <v>0</v>
      </c>
      <c r="L8" s="47">
        <v>0</v>
      </c>
      <c r="M8" s="47">
        <v>0</v>
      </c>
      <c r="N8" s="47">
        <v>0</v>
      </c>
      <c r="O8" s="47">
        <v>0</v>
      </c>
      <c r="P8" s="47">
        <v>0</v>
      </c>
      <c r="Q8" s="47">
        <v>0</v>
      </c>
      <c r="R8" s="47">
        <v>0</v>
      </c>
      <c r="S8" s="47">
        <v>0</v>
      </c>
      <c r="T8" s="47">
        <v>0</v>
      </c>
      <c r="U8" s="47">
        <v>0</v>
      </c>
      <c r="V8" s="47">
        <v>0</v>
      </c>
      <c r="W8" s="47">
        <v>0</v>
      </c>
    </row>
    <row r="9" spans="1:90" ht="15" customHeight="1">
      <c r="A9" s="41" t="s">
        <v>41</v>
      </c>
      <c r="B9" s="42" t="s">
        <v>42</v>
      </c>
      <c r="C9" s="43" t="s">
        <v>43</v>
      </c>
      <c r="D9" s="44">
        <v>46235</v>
      </c>
      <c r="E9" s="44">
        <v>46237</v>
      </c>
      <c r="F9" s="41" t="s">
        <v>31</v>
      </c>
      <c r="G9" s="42" t="s">
        <v>32</v>
      </c>
      <c r="H9" s="41" t="s">
        <v>33</v>
      </c>
      <c r="I9" s="45">
        <f t="shared" si="0"/>
        <v>3</v>
      </c>
      <c r="J9" s="46">
        <v>1</v>
      </c>
      <c r="K9" s="46">
        <v>1</v>
      </c>
      <c r="L9" s="46">
        <v>1</v>
      </c>
      <c r="M9" s="47">
        <v>0</v>
      </c>
      <c r="N9" s="47">
        <v>0</v>
      </c>
      <c r="O9" s="47">
        <v>0</v>
      </c>
      <c r="P9" s="47">
        <v>0</v>
      </c>
      <c r="Q9" s="47">
        <v>0</v>
      </c>
      <c r="R9" s="47">
        <v>0</v>
      </c>
      <c r="S9" s="47">
        <v>0</v>
      </c>
      <c r="T9" s="47">
        <v>0</v>
      </c>
      <c r="U9" s="47">
        <v>0</v>
      </c>
      <c r="V9" s="47">
        <v>0</v>
      </c>
      <c r="W9" s="47">
        <v>0</v>
      </c>
    </row>
    <row r="10" spans="1:90" ht="15" customHeight="1">
      <c r="A10" s="41" t="s">
        <v>44</v>
      </c>
      <c r="B10" s="42" t="s">
        <v>45</v>
      </c>
      <c r="C10" s="43" t="s">
        <v>46</v>
      </c>
      <c r="D10" s="44">
        <v>46235</v>
      </c>
      <c r="E10" s="44">
        <v>46237</v>
      </c>
      <c r="F10" s="41" t="s">
        <v>31</v>
      </c>
      <c r="G10" s="42" t="s">
        <v>47</v>
      </c>
      <c r="H10" s="41" t="s">
        <v>33</v>
      </c>
      <c r="I10" s="45">
        <f t="shared" si="0"/>
        <v>5</v>
      </c>
      <c r="J10" s="47">
        <v>0</v>
      </c>
      <c r="K10" s="46">
        <v>2</v>
      </c>
      <c r="L10" s="46">
        <v>3</v>
      </c>
      <c r="M10" s="47">
        <v>0</v>
      </c>
      <c r="N10" s="47">
        <v>0</v>
      </c>
      <c r="O10" s="47">
        <v>0</v>
      </c>
      <c r="P10" s="47">
        <v>0</v>
      </c>
      <c r="Q10" s="47">
        <v>0</v>
      </c>
      <c r="R10" s="47">
        <v>0</v>
      </c>
      <c r="S10" s="47">
        <v>0</v>
      </c>
      <c r="T10" s="47">
        <v>0</v>
      </c>
      <c r="U10" s="47">
        <v>0</v>
      </c>
      <c r="V10" s="47">
        <v>0</v>
      </c>
      <c r="W10" s="47">
        <v>0</v>
      </c>
    </row>
    <row r="11" spans="1:90" ht="15" customHeight="1">
      <c r="A11" s="41" t="s">
        <v>48</v>
      </c>
      <c r="B11" s="42" t="s">
        <v>49</v>
      </c>
      <c r="C11" s="43" t="s">
        <v>50</v>
      </c>
      <c r="D11" s="44">
        <v>46235</v>
      </c>
      <c r="E11" s="44">
        <v>46236</v>
      </c>
      <c r="F11" s="41" t="s">
        <v>31</v>
      </c>
      <c r="G11" s="42" t="s">
        <v>47</v>
      </c>
      <c r="H11" s="41" t="s">
        <v>33</v>
      </c>
      <c r="I11" s="45">
        <f t="shared" si="0"/>
        <v>2</v>
      </c>
      <c r="J11" s="47">
        <v>0</v>
      </c>
      <c r="K11" s="46">
        <v>2</v>
      </c>
      <c r="L11" s="47">
        <v>0</v>
      </c>
      <c r="M11" s="47">
        <v>0</v>
      </c>
      <c r="N11" s="47">
        <v>0</v>
      </c>
      <c r="O11" s="47">
        <v>0</v>
      </c>
      <c r="P11" s="47">
        <v>0</v>
      </c>
      <c r="Q11" s="47">
        <v>0</v>
      </c>
      <c r="R11" s="47">
        <v>0</v>
      </c>
      <c r="S11" s="47">
        <v>0</v>
      </c>
      <c r="T11" s="47">
        <v>0</v>
      </c>
      <c r="U11" s="47">
        <v>0</v>
      </c>
      <c r="V11" s="47">
        <v>0</v>
      </c>
      <c r="W11" s="47">
        <v>0</v>
      </c>
    </row>
    <row r="12" spans="1:90" ht="15" customHeight="1">
      <c r="A12" s="41" t="s">
        <v>51</v>
      </c>
      <c r="B12" s="42" t="s">
        <v>52</v>
      </c>
      <c r="C12" s="98" t="s">
        <v>53</v>
      </c>
      <c r="D12" s="44">
        <v>46236</v>
      </c>
      <c r="E12" s="44">
        <v>46238</v>
      </c>
      <c r="F12" s="41" t="s">
        <v>31</v>
      </c>
      <c r="G12" s="42" t="s">
        <v>37</v>
      </c>
      <c r="H12" s="41" t="s">
        <v>33</v>
      </c>
      <c r="I12" s="45">
        <f t="shared" si="0"/>
        <v>1.5</v>
      </c>
      <c r="J12" s="47">
        <v>0</v>
      </c>
      <c r="K12" s="46">
        <v>1</v>
      </c>
      <c r="L12" s="47">
        <v>0</v>
      </c>
      <c r="M12" s="46">
        <v>0.5</v>
      </c>
      <c r="N12" s="47">
        <v>0</v>
      </c>
      <c r="O12" s="47">
        <v>0</v>
      </c>
      <c r="P12" s="47">
        <v>0</v>
      </c>
      <c r="Q12" s="47">
        <v>0</v>
      </c>
      <c r="R12" s="47">
        <v>0</v>
      </c>
      <c r="S12" s="47">
        <v>0</v>
      </c>
      <c r="T12" s="47">
        <v>0</v>
      </c>
      <c r="U12" s="47">
        <v>0</v>
      </c>
      <c r="V12" s="47">
        <v>0</v>
      </c>
      <c r="W12" s="47">
        <v>0</v>
      </c>
    </row>
    <row r="13" spans="1:90" ht="15" customHeight="1">
      <c r="A13" s="41" t="s">
        <v>54</v>
      </c>
      <c r="B13" s="42" t="s">
        <v>55</v>
      </c>
      <c r="C13" s="98" t="s">
        <v>56</v>
      </c>
      <c r="D13" s="44">
        <v>46235</v>
      </c>
      <c r="E13" s="44">
        <v>46239</v>
      </c>
      <c r="F13" s="41" t="s">
        <v>31</v>
      </c>
      <c r="G13" s="42" t="s">
        <v>32</v>
      </c>
      <c r="H13" s="41" t="s">
        <v>33</v>
      </c>
      <c r="I13" s="45">
        <f t="shared" si="0"/>
        <v>14</v>
      </c>
      <c r="J13" s="46">
        <v>2</v>
      </c>
      <c r="K13" s="46">
        <v>2</v>
      </c>
      <c r="L13" s="46">
        <v>1</v>
      </c>
      <c r="M13" s="47">
        <v>0</v>
      </c>
      <c r="N13" s="46">
        <v>1</v>
      </c>
      <c r="O13" s="47">
        <v>0</v>
      </c>
      <c r="P13" s="46">
        <v>1</v>
      </c>
      <c r="Q13" s="46">
        <v>2</v>
      </c>
      <c r="R13" s="46">
        <v>2</v>
      </c>
      <c r="S13" s="47">
        <v>0</v>
      </c>
      <c r="T13" s="47">
        <v>0</v>
      </c>
      <c r="U13" s="46">
        <v>1</v>
      </c>
      <c r="V13" s="46">
        <v>2</v>
      </c>
      <c r="W13" s="47">
        <v>0</v>
      </c>
    </row>
    <row r="14" spans="1:90" ht="15" customHeight="1">
      <c r="A14" s="41" t="s">
        <v>57</v>
      </c>
      <c r="B14" s="42" t="s">
        <v>58</v>
      </c>
      <c r="C14" s="48" t="s">
        <v>59</v>
      </c>
      <c r="D14" s="44">
        <v>46237</v>
      </c>
      <c r="E14" s="44">
        <v>46239</v>
      </c>
      <c r="F14" s="41" t="s">
        <v>31</v>
      </c>
      <c r="G14" s="42" t="s">
        <v>60</v>
      </c>
      <c r="H14" s="41" t="s">
        <v>33</v>
      </c>
      <c r="I14" s="45">
        <f t="shared" si="0"/>
        <v>3</v>
      </c>
      <c r="J14" s="46">
        <v>1</v>
      </c>
      <c r="K14" s="47">
        <v>0</v>
      </c>
      <c r="L14" s="47">
        <v>0</v>
      </c>
      <c r="M14" s="46">
        <v>2</v>
      </c>
      <c r="N14" s="47">
        <v>0</v>
      </c>
      <c r="O14" s="47">
        <v>0</v>
      </c>
      <c r="P14" s="47">
        <v>0</v>
      </c>
      <c r="Q14" s="47">
        <v>0</v>
      </c>
      <c r="R14" s="47">
        <v>0</v>
      </c>
      <c r="S14" s="47">
        <v>0</v>
      </c>
      <c r="T14" s="47">
        <v>0</v>
      </c>
      <c r="U14" s="47">
        <v>0</v>
      </c>
      <c r="V14" s="47">
        <v>0</v>
      </c>
      <c r="W14" s="47">
        <v>0</v>
      </c>
    </row>
    <row r="15" spans="1:90" ht="15" customHeight="1">
      <c r="A15" s="41" t="s">
        <v>61</v>
      </c>
      <c r="B15" s="42" t="s">
        <v>62</v>
      </c>
      <c r="C15" s="98" t="s">
        <v>63</v>
      </c>
      <c r="D15" s="44">
        <v>46241</v>
      </c>
      <c r="E15" s="44">
        <v>46261</v>
      </c>
      <c r="F15" s="41" t="s">
        <v>31</v>
      </c>
      <c r="G15" s="42" t="s">
        <v>64</v>
      </c>
      <c r="H15" s="41" t="s">
        <v>33</v>
      </c>
      <c r="I15" s="45">
        <f t="shared" ref="I15" si="1">SUM(J15:W15)</f>
        <v>5</v>
      </c>
      <c r="J15" s="47">
        <v>0</v>
      </c>
      <c r="K15" s="47">
        <v>0</v>
      </c>
      <c r="L15" s="47">
        <v>0</v>
      </c>
      <c r="M15" s="47">
        <v>0</v>
      </c>
      <c r="N15" s="47">
        <v>0</v>
      </c>
      <c r="O15" s="46">
        <v>2</v>
      </c>
      <c r="P15" s="46">
        <v>3</v>
      </c>
      <c r="Q15" s="47">
        <v>0</v>
      </c>
      <c r="R15" s="47">
        <v>0</v>
      </c>
      <c r="S15" s="47">
        <v>0</v>
      </c>
      <c r="T15" s="47">
        <v>0</v>
      </c>
      <c r="U15" s="47">
        <v>0</v>
      </c>
      <c r="V15" s="47">
        <v>0</v>
      </c>
      <c r="W15" s="47">
        <v>0</v>
      </c>
    </row>
    <row r="16" spans="1:90" ht="15" customHeight="1">
      <c r="A16" s="41" t="s">
        <v>65</v>
      </c>
      <c r="B16" s="42" t="s">
        <v>66</v>
      </c>
      <c r="C16" s="98" t="s">
        <v>67</v>
      </c>
      <c r="D16" s="44">
        <v>46241</v>
      </c>
      <c r="E16" s="44">
        <v>46261</v>
      </c>
      <c r="F16" s="41" t="s">
        <v>31</v>
      </c>
      <c r="G16" s="42" t="s">
        <v>64</v>
      </c>
      <c r="H16" s="41" t="s">
        <v>33</v>
      </c>
      <c r="I16" s="45">
        <f t="shared" si="0"/>
        <v>5</v>
      </c>
      <c r="J16" s="47">
        <v>0</v>
      </c>
      <c r="K16" s="47">
        <v>0</v>
      </c>
      <c r="L16" s="47">
        <v>0</v>
      </c>
      <c r="M16" s="47">
        <v>0</v>
      </c>
      <c r="N16" s="47">
        <v>0</v>
      </c>
      <c r="O16" s="46">
        <v>2</v>
      </c>
      <c r="P16" s="46">
        <v>3</v>
      </c>
      <c r="Q16" s="47">
        <v>0</v>
      </c>
      <c r="R16" s="47">
        <v>0</v>
      </c>
      <c r="S16" s="47">
        <v>0</v>
      </c>
      <c r="T16" s="47">
        <v>0</v>
      </c>
      <c r="U16" s="47">
        <v>0</v>
      </c>
      <c r="V16" s="47">
        <v>0</v>
      </c>
      <c r="W16" s="47">
        <v>0</v>
      </c>
    </row>
    <row r="17" spans="1:53" ht="15" customHeight="1">
      <c r="A17" s="41" t="s">
        <v>68</v>
      </c>
      <c r="B17" s="42" t="s">
        <v>69</v>
      </c>
      <c r="C17" s="98" t="s">
        <v>70</v>
      </c>
      <c r="D17" s="44">
        <v>46242</v>
      </c>
      <c r="E17" s="44">
        <v>46266</v>
      </c>
      <c r="F17" s="41" t="s">
        <v>31</v>
      </c>
      <c r="G17" s="42" t="s">
        <v>64</v>
      </c>
      <c r="H17" s="41" t="s">
        <v>33</v>
      </c>
      <c r="I17" s="45">
        <f t="shared" si="0"/>
        <v>4</v>
      </c>
      <c r="J17" s="47">
        <v>0</v>
      </c>
      <c r="K17" s="47">
        <v>0</v>
      </c>
      <c r="L17" s="47">
        <v>0</v>
      </c>
      <c r="M17" s="47">
        <v>0</v>
      </c>
      <c r="N17" s="47">
        <v>0</v>
      </c>
      <c r="O17" s="47">
        <v>0</v>
      </c>
      <c r="P17" s="46">
        <v>4</v>
      </c>
      <c r="Q17" s="47">
        <v>0</v>
      </c>
      <c r="R17" s="47">
        <v>0</v>
      </c>
      <c r="S17" s="47">
        <v>0</v>
      </c>
      <c r="T17" s="47">
        <v>0</v>
      </c>
      <c r="U17" s="47">
        <v>0</v>
      </c>
      <c r="V17" s="47">
        <v>0</v>
      </c>
      <c r="W17" s="47">
        <v>0</v>
      </c>
    </row>
    <row r="18" spans="1:53" ht="15" customHeight="1">
      <c r="A18" s="41" t="s">
        <v>71</v>
      </c>
      <c r="B18" s="42" t="s">
        <v>72</v>
      </c>
      <c r="C18" s="98" t="s">
        <v>73</v>
      </c>
      <c r="D18" s="44">
        <v>46243</v>
      </c>
      <c r="E18" s="44">
        <v>46275</v>
      </c>
      <c r="F18" s="41" t="s">
        <v>31</v>
      </c>
      <c r="G18" s="42" t="s">
        <v>74</v>
      </c>
      <c r="H18" s="41" t="s">
        <v>33</v>
      </c>
      <c r="I18" s="45">
        <f t="shared" si="0"/>
        <v>4</v>
      </c>
      <c r="J18" s="47">
        <v>0</v>
      </c>
      <c r="K18" s="47">
        <v>0</v>
      </c>
      <c r="L18" s="47">
        <v>0</v>
      </c>
      <c r="M18" s="47">
        <v>0</v>
      </c>
      <c r="N18" s="47">
        <v>0</v>
      </c>
      <c r="O18" s="47">
        <v>0</v>
      </c>
      <c r="P18" s="47">
        <v>0</v>
      </c>
      <c r="Q18" s="46">
        <v>4</v>
      </c>
      <c r="R18" s="47">
        <v>0</v>
      </c>
      <c r="S18" s="47">
        <v>0</v>
      </c>
      <c r="T18" s="47">
        <v>0</v>
      </c>
      <c r="U18" s="47">
        <v>0</v>
      </c>
      <c r="V18" s="47">
        <v>0</v>
      </c>
      <c r="W18" s="47">
        <v>0</v>
      </c>
    </row>
    <row r="19" spans="1:53" ht="15" customHeight="1">
      <c r="A19" s="41" t="s">
        <v>75</v>
      </c>
      <c r="B19" s="42" t="s">
        <v>76</v>
      </c>
      <c r="C19" s="98" t="s">
        <v>77</v>
      </c>
      <c r="D19" s="44">
        <v>46243</v>
      </c>
      <c r="E19" s="44">
        <v>46273</v>
      </c>
      <c r="F19" s="41" t="s">
        <v>31</v>
      </c>
      <c r="G19" s="42" t="s">
        <v>60</v>
      </c>
      <c r="H19" s="41" t="s">
        <v>33</v>
      </c>
      <c r="I19" s="45">
        <f t="shared" si="0"/>
        <v>4</v>
      </c>
      <c r="J19" s="47">
        <v>0</v>
      </c>
      <c r="K19" s="47">
        <v>0</v>
      </c>
      <c r="L19" s="47">
        <v>0</v>
      </c>
      <c r="M19" s="47">
        <v>0</v>
      </c>
      <c r="N19" s="47">
        <v>0</v>
      </c>
      <c r="O19" s="47">
        <v>0</v>
      </c>
      <c r="P19" s="47">
        <v>0</v>
      </c>
      <c r="Q19" s="47">
        <v>0</v>
      </c>
      <c r="R19" s="47">
        <v>0</v>
      </c>
      <c r="S19" s="46">
        <v>2</v>
      </c>
      <c r="T19" s="46">
        <v>2</v>
      </c>
      <c r="U19" s="47">
        <v>0</v>
      </c>
      <c r="V19" s="47">
        <v>0</v>
      </c>
      <c r="W19" s="47">
        <v>0</v>
      </c>
    </row>
    <row r="20" spans="1:53" ht="15" customHeight="1">
      <c r="A20" s="41" t="s">
        <v>78</v>
      </c>
      <c r="B20" s="42" t="s">
        <v>79</v>
      </c>
      <c r="C20" s="43" t="s">
        <v>80</v>
      </c>
      <c r="D20" s="44">
        <v>46244</v>
      </c>
      <c r="E20" s="44">
        <v>46274</v>
      </c>
      <c r="F20" s="41" t="s">
        <v>31</v>
      </c>
      <c r="G20" s="42" t="s">
        <v>37</v>
      </c>
      <c r="H20" s="41" t="s">
        <v>33</v>
      </c>
      <c r="I20" s="45">
        <f t="shared" si="0"/>
        <v>5</v>
      </c>
      <c r="J20" s="47">
        <v>0</v>
      </c>
      <c r="K20" s="47">
        <v>0</v>
      </c>
      <c r="L20" s="47">
        <v>0</v>
      </c>
      <c r="M20" s="47">
        <v>0</v>
      </c>
      <c r="N20" s="47">
        <v>0</v>
      </c>
      <c r="O20" s="47">
        <v>0</v>
      </c>
      <c r="P20" s="47">
        <v>0</v>
      </c>
      <c r="Q20" s="47">
        <v>0</v>
      </c>
      <c r="R20" s="47">
        <v>0</v>
      </c>
      <c r="S20" s="47">
        <v>0</v>
      </c>
      <c r="T20" s="46">
        <v>3</v>
      </c>
      <c r="U20" s="47">
        <v>0</v>
      </c>
      <c r="V20" s="47">
        <v>0</v>
      </c>
      <c r="W20" s="46">
        <v>2</v>
      </c>
    </row>
    <row r="21" spans="1:53" ht="15" customHeight="1">
      <c r="A21" s="41" t="s">
        <v>81</v>
      </c>
      <c r="B21" s="42" t="s">
        <v>82</v>
      </c>
      <c r="C21" s="98" t="s">
        <v>83</v>
      </c>
      <c r="D21" s="87">
        <v>46254</v>
      </c>
      <c r="E21" s="44">
        <v>46280</v>
      </c>
      <c r="F21" s="41" t="s">
        <v>31</v>
      </c>
      <c r="G21" s="42" t="s">
        <v>60</v>
      </c>
      <c r="H21" s="41" t="s">
        <v>33</v>
      </c>
      <c r="I21" s="45">
        <f t="shared" si="0"/>
        <v>9</v>
      </c>
      <c r="J21" s="47">
        <v>0</v>
      </c>
      <c r="K21" s="47">
        <v>0</v>
      </c>
      <c r="L21" s="46">
        <v>2</v>
      </c>
      <c r="M21" s="47">
        <v>0</v>
      </c>
      <c r="N21" s="47">
        <v>0</v>
      </c>
      <c r="O21" s="46">
        <v>2</v>
      </c>
      <c r="P21" s="47">
        <v>0</v>
      </c>
      <c r="Q21" s="47">
        <v>0</v>
      </c>
      <c r="R21" s="46">
        <v>1</v>
      </c>
      <c r="S21" s="47">
        <v>0</v>
      </c>
      <c r="T21" s="47">
        <v>0</v>
      </c>
      <c r="U21" s="47">
        <v>0</v>
      </c>
      <c r="V21" s="47">
        <v>0</v>
      </c>
      <c r="W21" s="46">
        <v>4</v>
      </c>
    </row>
    <row r="22" spans="1:53" ht="15" customHeight="1">
      <c r="A22" s="42"/>
      <c r="B22" s="42"/>
      <c r="C22" s="43"/>
      <c r="D22" s="88"/>
      <c r="E22" s="44"/>
      <c r="F22" s="41"/>
      <c r="G22" s="42"/>
      <c r="H22" s="41"/>
      <c r="I22" s="45"/>
      <c r="J22" s="47"/>
      <c r="K22" s="47"/>
      <c r="L22" s="47"/>
      <c r="M22" s="47"/>
      <c r="N22" s="47"/>
      <c r="O22" s="47"/>
      <c r="P22" s="47"/>
      <c r="Q22" s="47"/>
      <c r="R22" s="47"/>
      <c r="S22" s="47"/>
      <c r="T22" s="47"/>
      <c r="U22" s="47"/>
      <c r="V22" s="47"/>
      <c r="W22" s="47"/>
    </row>
    <row r="23" spans="1:53" s="32" customFormat="1" ht="28.5" customHeight="1">
      <c r="A23" s="91" t="s">
        <v>84</v>
      </c>
      <c r="B23" s="91"/>
      <c r="C23" s="91"/>
      <c r="D23" s="91"/>
      <c r="E23" s="91"/>
      <c r="F23" s="91"/>
      <c r="G23" s="91"/>
      <c r="H23" s="91"/>
      <c r="I23" s="91"/>
      <c r="J23" s="91"/>
      <c r="K23" s="91"/>
      <c r="L23" s="91"/>
      <c r="M23" s="91"/>
      <c r="N23" s="91"/>
      <c r="O23" s="91"/>
      <c r="P23" s="91"/>
      <c r="Q23" s="91"/>
      <c r="R23" s="91"/>
      <c r="S23" s="91"/>
      <c r="T23" s="91"/>
      <c r="U23" s="91"/>
      <c r="V23" s="91"/>
      <c r="W23" s="91"/>
      <c r="X23"/>
      <c r="Y23"/>
      <c r="Z23"/>
      <c r="AA23"/>
      <c r="AB23"/>
      <c r="AC23"/>
      <c r="AD23"/>
      <c r="AE23"/>
      <c r="AF23"/>
      <c r="AG23"/>
      <c r="AH23"/>
      <c r="AI23"/>
      <c r="AJ23"/>
      <c r="AK23"/>
      <c r="AL23"/>
      <c r="AM23"/>
      <c r="AN23"/>
      <c r="AO23"/>
      <c r="AP23"/>
      <c r="AQ23"/>
      <c r="AR23"/>
      <c r="AS23"/>
      <c r="AT23"/>
      <c r="AU23"/>
      <c r="AV23"/>
      <c r="AW23"/>
      <c r="AX23"/>
      <c r="AY23"/>
      <c r="AZ23"/>
      <c r="BA23"/>
    </row>
    <row r="24" spans="1:53" ht="29.25" customHeight="1">
      <c r="A24" s="39" t="s">
        <v>1</v>
      </c>
      <c r="B24" s="39" t="s">
        <v>2</v>
      </c>
      <c r="C24" s="40" t="s">
        <v>3</v>
      </c>
      <c r="D24" s="39" t="s">
        <v>25</v>
      </c>
      <c r="E24" s="39" t="s">
        <v>26</v>
      </c>
      <c r="F24" s="39" t="s">
        <v>6</v>
      </c>
      <c r="G24" s="39" t="s">
        <v>7</v>
      </c>
      <c r="H24" s="39" t="s">
        <v>8</v>
      </c>
      <c r="I24" s="39" t="s">
        <v>27</v>
      </c>
      <c r="J24" s="39" t="s">
        <v>10</v>
      </c>
      <c r="K24" s="39" t="s">
        <v>11</v>
      </c>
      <c r="L24" s="39" t="s">
        <v>12</v>
      </c>
      <c r="M24" s="39" t="s">
        <v>13</v>
      </c>
      <c r="N24" s="39" t="s">
        <v>14</v>
      </c>
      <c r="O24" s="39" t="s">
        <v>15</v>
      </c>
      <c r="P24" s="39" t="s">
        <v>16</v>
      </c>
      <c r="Q24" s="39" t="s">
        <v>17</v>
      </c>
      <c r="R24" s="39" t="s">
        <v>18</v>
      </c>
      <c r="S24" s="39" t="s">
        <v>19</v>
      </c>
      <c r="T24" s="39" t="s">
        <v>20</v>
      </c>
      <c r="U24" s="39" t="s">
        <v>21</v>
      </c>
      <c r="V24" s="39" t="s">
        <v>22</v>
      </c>
      <c r="W24" s="39" t="s">
        <v>23</v>
      </c>
    </row>
    <row r="25" spans="1:53" ht="15" customHeight="1">
      <c r="A25" s="49" t="s">
        <v>85</v>
      </c>
      <c r="B25" s="49" t="s">
        <v>86</v>
      </c>
      <c r="C25" s="99" t="s">
        <v>87</v>
      </c>
      <c r="D25" s="51">
        <v>46245</v>
      </c>
      <c r="E25" s="51">
        <v>46273</v>
      </c>
      <c r="F25" s="52" t="s">
        <v>88</v>
      </c>
      <c r="G25" s="52" t="s">
        <v>60</v>
      </c>
      <c r="H25" s="49" t="s">
        <v>33</v>
      </c>
      <c r="I25" s="53">
        <f>SUM(J25:W25)</f>
        <v>4</v>
      </c>
      <c r="J25" s="54">
        <v>0</v>
      </c>
      <c r="K25" s="54">
        <v>0</v>
      </c>
      <c r="L25" s="54">
        <v>0</v>
      </c>
      <c r="M25" s="54">
        <v>0</v>
      </c>
      <c r="N25" s="54">
        <v>0</v>
      </c>
      <c r="O25" s="54">
        <v>0</v>
      </c>
      <c r="P25" s="54">
        <v>0</v>
      </c>
      <c r="Q25" s="54">
        <v>0</v>
      </c>
      <c r="R25" s="54">
        <v>0</v>
      </c>
      <c r="S25" s="46">
        <v>2</v>
      </c>
      <c r="T25" s="54">
        <v>0</v>
      </c>
      <c r="U25" s="46">
        <v>1</v>
      </c>
      <c r="V25" s="46">
        <v>1</v>
      </c>
      <c r="W25" s="54">
        <v>0</v>
      </c>
    </row>
    <row r="26" spans="1:53" ht="15" customHeight="1">
      <c r="A26" s="49" t="s">
        <v>89</v>
      </c>
      <c r="B26" s="49" t="s">
        <v>90</v>
      </c>
      <c r="C26" s="99" t="s">
        <v>91</v>
      </c>
      <c r="D26" s="51">
        <v>46246</v>
      </c>
      <c r="E26" s="51">
        <v>46274</v>
      </c>
      <c r="F26" s="52" t="s">
        <v>88</v>
      </c>
      <c r="G26" s="52" t="s">
        <v>60</v>
      </c>
      <c r="H26" s="49" t="s">
        <v>33</v>
      </c>
      <c r="I26" s="53">
        <f t="shared" ref="I26:I28" si="2">SUM(J26:W26)</f>
        <v>5</v>
      </c>
      <c r="J26" s="54">
        <v>0</v>
      </c>
      <c r="K26" s="54">
        <v>0</v>
      </c>
      <c r="L26" s="54">
        <v>0</v>
      </c>
      <c r="M26" s="54">
        <v>0</v>
      </c>
      <c r="N26" s="54">
        <v>0</v>
      </c>
      <c r="O26" s="54">
        <v>0</v>
      </c>
      <c r="P26" s="54">
        <v>0</v>
      </c>
      <c r="Q26" s="54">
        <v>0</v>
      </c>
      <c r="R26" s="54">
        <v>0</v>
      </c>
      <c r="S26" s="46">
        <v>2</v>
      </c>
      <c r="T26" s="46">
        <v>2</v>
      </c>
      <c r="U26" s="54">
        <v>0</v>
      </c>
      <c r="V26" s="54">
        <v>1</v>
      </c>
      <c r="W26" s="54">
        <v>0</v>
      </c>
    </row>
    <row r="27" spans="1:53" ht="15" customHeight="1">
      <c r="A27" s="49" t="s">
        <v>92</v>
      </c>
      <c r="B27" s="49" t="s">
        <v>93</v>
      </c>
      <c r="C27" s="50" t="s">
        <v>94</v>
      </c>
      <c r="D27" s="51">
        <v>46245</v>
      </c>
      <c r="E27" s="51">
        <v>46273</v>
      </c>
      <c r="F27" s="52" t="s">
        <v>88</v>
      </c>
      <c r="G27" s="52" t="s">
        <v>60</v>
      </c>
      <c r="H27" s="49" t="s">
        <v>33</v>
      </c>
      <c r="I27" s="53">
        <f>SUM(J27:W27)</f>
        <v>3</v>
      </c>
      <c r="J27" s="54">
        <v>0</v>
      </c>
      <c r="K27" s="54">
        <v>0</v>
      </c>
      <c r="L27" s="54">
        <v>0</v>
      </c>
      <c r="M27" s="54">
        <v>0</v>
      </c>
      <c r="N27" s="54">
        <v>0</v>
      </c>
      <c r="O27" s="54">
        <v>0</v>
      </c>
      <c r="P27" s="54">
        <v>0</v>
      </c>
      <c r="Q27" s="54">
        <v>0</v>
      </c>
      <c r="R27" s="54">
        <v>0</v>
      </c>
      <c r="S27" s="54">
        <v>0</v>
      </c>
      <c r="T27" s="54">
        <v>0</v>
      </c>
      <c r="U27" s="54">
        <v>0</v>
      </c>
      <c r="V27" s="46">
        <v>3</v>
      </c>
      <c r="W27" s="54">
        <v>0</v>
      </c>
    </row>
    <row r="28" spans="1:53" ht="15" customHeight="1">
      <c r="A28" s="49" t="s">
        <v>95</v>
      </c>
      <c r="B28" s="49" t="s">
        <v>96</v>
      </c>
      <c r="C28" s="50" t="s">
        <v>97</v>
      </c>
      <c r="D28" s="51">
        <v>46236</v>
      </c>
      <c r="E28" s="51">
        <v>46238</v>
      </c>
      <c r="F28" s="52" t="s">
        <v>88</v>
      </c>
      <c r="G28" s="52" t="s">
        <v>47</v>
      </c>
      <c r="H28" s="49" t="s">
        <v>33</v>
      </c>
      <c r="I28" s="53">
        <f t="shared" si="2"/>
        <v>2</v>
      </c>
      <c r="J28" s="54">
        <v>0</v>
      </c>
      <c r="K28" s="54">
        <v>0</v>
      </c>
      <c r="L28" s="54">
        <v>0</v>
      </c>
      <c r="M28" s="46">
        <v>2</v>
      </c>
      <c r="N28" s="54">
        <v>0</v>
      </c>
      <c r="O28" s="54">
        <v>0</v>
      </c>
      <c r="P28" s="54">
        <v>0</v>
      </c>
      <c r="Q28" s="54">
        <v>0</v>
      </c>
      <c r="R28" s="54">
        <v>0</v>
      </c>
      <c r="S28" s="54">
        <v>0</v>
      </c>
      <c r="T28" s="54">
        <v>0</v>
      </c>
      <c r="U28" s="54">
        <v>0</v>
      </c>
      <c r="V28" s="54">
        <v>0</v>
      </c>
      <c r="W28" s="54">
        <v>0</v>
      </c>
    </row>
    <row r="29" spans="1:53" ht="15" customHeight="1">
      <c r="A29" s="49"/>
      <c r="B29" s="49"/>
      <c r="C29" s="50"/>
      <c r="D29" s="51"/>
      <c r="E29" s="51"/>
      <c r="F29" s="52"/>
      <c r="G29" s="52"/>
      <c r="H29" s="49"/>
      <c r="I29" s="53"/>
      <c r="J29" s="54"/>
      <c r="K29" s="54"/>
      <c r="L29" s="54"/>
      <c r="M29" s="54"/>
      <c r="N29" s="54"/>
      <c r="O29" s="54"/>
      <c r="P29" s="54"/>
      <c r="Q29" s="54"/>
      <c r="R29" s="54"/>
      <c r="S29" s="54"/>
      <c r="T29" s="54"/>
      <c r="U29" s="54"/>
      <c r="V29" s="54"/>
      <c r="W29" s="54"/>
    </row>
    <row r="30" spans="1:53" ht="30" customHeight="1">
      <c r="A30" s="91" t="s">
        <v>98</v>
      </c>
      <c r="B30" s="91"/>
      <c r="C30" s="91"/>
      <c r="D30" s="91"/>
      <c r="E30" s="91"/>
      <c r="F30" s="91"/>
      <c r="G30" s="91"/>
      <c r="H30" s="91"/>
      <c r="I30" s="91"/>
      <c r="J30" s="91"/>
      <c r="K30" s="91"/>
      <c r="L30" s="91"/>
      <c r="M30" s="91"/>
      <c r="N30" s="91"/>
      <c r="O30" s="91"/>
      <c r="P30" s="91"/>
      <c r="Q30" s="91"/>
      <c r="R30" s="91"/>
      <c r="S30" s="91"/>
      <c r="T30" s="91"/>
      <c r="U30" s="91"/>
      <c r="V30" s="91"/>
      <c r="W30" s="91"/>
    </row>
    <row r="31" spans="1:53" ht="33" customHeight="1">
      <c r="A31" s="39" t="s">
        <v>1</v>
      </c>
      <c r="B31" s="39" t="s">
        <v>2</v>
      </c>
      <c r="C31" s="40" t="s">
        <v>3</v>
      </c>
      <c r="D31" s="39" t="s">
        <v>25</v>
      </c>
      <c r="E31" s="39" t="s">
        <v>26</v>
      </c>
      <c r="F31" s="39" t="s">
        <v>6</v>
      </c>
      <c r="G31" s="39" t="s">
        <v>7</v>
      </c>
      <c r="H31" s="39" t="s">
        <v>8</v>
      </c>
      <c r="I31" s="39" t="s">
        <v>27</v>
      </c>
      <c r="J31" s="39" t="s">
        <v>10</v>
      </c>
      <c r="K31" s="39" t="s">
        <v>11</v>
      </c>
      <c r="L31" s="39" t="s">
        <v>12</v>
      </c>
      <c r="M31" s="39" t="s">
        <v>13</v>
      </c>
      <c r="N31" s="39" t="s">
        <v>14</v>
      </c>
      <c r="O31" s="39" t="s">
        <v>15</v>
      </c>
      <c r="P31" s="39" t="s">
        <v>16</v>
      </c>
      <c r="Q31" s="39" t="s">
        <v>17</v>
      </c>
      <c r="R31" s="39" t="s">
        <v>18</v>
      </c>
      <c r="S31" s="39" t="s">
        <v>19</v>
      </c>
      <c r="T31" s="39" t="s">
        <v>20</v>
      </c>
      <c r="U31" s="39" t="s">
        <v>21</v>
      </c>
      <c r="V31" s="39" t="s">
        <v>22</v>
      </c>
      <c r="W31" s="39" t="s">
        <v>23</v>
      </c>
    </row>
    <row r="32" spans="1:53" ht="15" customHeight="1">
      <c r="A32" s="55" t="s">
        <v>99</v>
      </c>
      <c r="B32" s="55" t="s">
        <v>100</v>
      </c>
      <c r="C32" s="100" t="s">
        <v>101</v>
      </c>
      <c r="D32" s="57">
        <v>46235</v>
      </c>
      <c r="E32" s="57">
        <v>46236</v>
      </c>
      <c r="F32" s="58" t="s">
        <v>102</v>
      </c>
      <c r="G32" s="58" t="s">
        <v>47</v>
      </c>
      <c r="H32" s="55" t="s">
        <v>33</v>
      </c>
      <c r="I32" s="59">
        <f>SUM(J32:W32)</f>
        <v>4</v>
      </c>
      <c r="J32" s="60">
        <v>0</v>
      </c>
      <c r="K32" s="46">
        <v>4</v>
      </c>
      <c r="L32" s="60">
        <v>0</v>
      </c>
      <c r="M32" s="60">
        <v>0</v>
      </c>
      <c r="N32" s="60">
        <v>0</v>
      </c>
      <c r="O32" s="60">
        <v>0</v>
      </c>
      <c r="P32" s="60">
        <v>0</v>
      </c>
      <c r="Q32" s="60">
        <v>0</v>
      </c>
      <c r="R32" s="60">
        <v>0</v>
      </c>
      <c r="S32" s="60">
        <v>0</v>
      </c>
      <c r="T32" s="60">
        <v>0</v>
      </c>
      <c r="U32" s="60">
        <v>0</v>
      </c>
      <c r="V32" s="60">
        <v>0</v>
      </c>
      <c r="W32" s="60">
        <v>0</v>
      </c>
    </row>
    <row r="33" spans="1:23" ht="15" customHeight="1">
      <c r="A33" s="55" t="s">
        <v>103</v>
      </c>
      <c r="B33" s="55" t="s">
        <v>104</v>
      </c>
      <c r="C33" s="100" t="s">
        <v>105</v>
      </c>
      <c r="D33" s="57">
        <v>46235</v>
      </c>
      <c r="E33" s="57">
        <v>46236</v>
      </c>
      <c r="F33" s="58" t="s">
        <v>102</v>
      </c>
      <c r="G33" s="58" t="s">
        <v>47</v>
      </c>
      <c r="H33" s="55" t="s">
        <v>33</v>
      </c>
      <c r="I33" s="59">
        <f t="shared" ref="I33:I43" si="3">SUM(J33:W33)</f>
        <v>3</v>
      </c>
      <c r="J33" s="60">
        <v>0</v>
      </c>
      <c r="K33" s="46">
        <v>2</v>
      </c>
      <c r="L33" s="60">
        <v>0</v>
      </c>
      <c r="M33" s="60">
        <v>0</v>
      </c>
      <c r="N33" s="46">
        <v>1</v>
      </c>
      <c r="O33" s="60">
        <v>0</v>
      </c>
      <c r="P33" s="60">
        <v>0</v>
      </c>
      <c r="Q33" s="60">
        <v>0</v>
      </c>
      <c r="R33" s="60">
        <v>0</v>
      </c>
      <c r="S33" s="60">
        <v>0</v>
      </c>
      <c r="T33" s="60">
        <v>0</v>
      </c>
      <c r="U33" s="60">
        <v>0</v>
      </c>
      <c r="V33" s="60">
        <v>0</v>
      </c>
      <c r="W33" s="60">
        <v>0</v>
      </c>
    </row>
    <row r="34" spans="1:23" ht="15" customHeight="1">
      <c r="A34" s="55" t="s">
        <v>106</v>
      </c>
      <c r="B34" s="55" t="s">
        <v>107</v>
      </c>
      <c r="C34" s="101" t="s">
        <v>108</v>
      </c>
      <c r="D34" s="57">
        <v>46235</v>
      </c>
      <c r="E34" s="57">
        <v>46236</v>
      </c>
      <c r="F34" s="58" t="s">
        <v>102</v>
      </c>
      <c r="G34" s="58" t="s">
        <v>47</v>
      </c>
      <c r="H34" s="55" t="s">
        <v>33</v>
      </c>
      <c r="I34" s="59">
        <f t="shared" si="3"/>
        <v>3</v>
      </c>
      <c r="J34" s="60">
        <v>0</v>
      </c>
      <c r="K34" s="46">
        <v>1</v>
      </c>
      <c r="L34" s="46">
        <v>2</v>
      </c>
      <c r="M34" s="60">
        <v>0</v>
      </c>
      <c r="N34" s="60">
        <v>0</v>
      </c>
      <c r="O34" s="60">
        <v>0</v>
      </c>
      <c r="P34" s="60">
        <v>0</v>
      </c>
      <c r="Q34" s="60">
        <v>0</v>
      </c>
      <c r="R34" s="60">
        <v>0</v>
      </c>
      <c r="S34" s="60">
        <v>0</v>
      </c>
      <c r="T34" s="60">
        <v>0</v>
      </c>
      <c r="U34" s="60">
        <v>0</v>
      </c>
      <c r="V34" s="60">
        <v>0</v>
      </c>
      <c r="W34" s="60">
        <v>0</v>
      </c>
    </row>
    <row r="35" spans="1:23" ht="15" customHeight="1">
      <c r="A35" s="55" t="s">
        <v>109</v>
      </c>
      <c r="B35" s="55" t="s">
        <v>110</v>
      </c>
      <c r="C35" s="101" t="s">
        <v>111</v>
      </c>
      <c r="D35" s="57">
        <v>46235</v>
      </c>
      <c r="E35" s="57">
        <v>46236</v>
      </c>
      <c r="F35" s="58" t="s">
        <v>102</v>
      </c>
      <c r="G35" s="58" t="s">
        <v>47</v>
      </c>
      <c r="H35" s="55" t="s">
        <v>33</v>
      </c>
      <c r="I35" s="59">
        <f t="shared" si="3"/>
        <v>3</v>
      </c>
      <c r="J35" s="60">
        <v>0</v>
      </c>
      <c r="K35" s="46">
        <v>1</v>
      </c>
      <c r="L35" s="60">
        <v>1</v>
      </c>
      <c r="M35" s="60">
        <v>0</v>
      </c>
      <c r="N35" s="60">
        <v>0</v>
      </c>
      <c r="O35" s="46">
        <v>1</v>
      </c>
      <c r="P35" s="60">
        <v>0</v>
      </c>
      <c r="Q35" s="60">
        <v>0</v>
      </c>
      <c r="R35" s="60">
        <v>0</v>
      </c>
      <c r="S35" s="60">
        <v>0</v>
      </c>
      <c r="T35" s="60">
        <v>0</v>
      </c>
      <c r="U35" s="60">
        <v>0</v>
      </c>
      <c r="V35" s="60">
        <v>0</v>
      </c>
      <c r="W35" s="60">
        <v>0</v>
      </c>
    </row>
    <row r="36" spans="1:23" ht="15" customHeight="1">
      <c r="A36" s="55" t="s">
        <v>112</v>
      </c>
      <c r="B36" s="55" t="s">
        <v>113</v>
      </c>
      <c r="C36" s="56" t="s">
        <v>114</v>
      </c>
      <c r="D36" s="57">
        <v>46236</v>
      </c>
      <c r="E36" s="57">
        <v>46236</v>
      </c>
      <c r="F36" s="58" t="s">
        <v>102</v>
      </c>
      <c r="G36" s="58" t="s">
        <v>47</v>
      </c>
      <c r="H36" s="55" t="s">
        <v>33</v>
      </c>
      <c r="I36" s="59">
        <f t="shared" si="3"/>
        <v>3</v>
      </c>
      <c r="J36" s="60">
        <v>0</v>
      </c>
      <c r="K36" s="60">
        <v>0</v>
      </c>
      <c r="L36" s="46">
        <v>3</v>
      </c>
      <c r="M36" s="60">
        <v>0</v>
      </c>
      <c r="N36" s="60">
        <v>0</v>
      </c>
      <c r="O36" s="60">
        <v>0</v>
      </c>
      <c r="P36" s="60">
        <v>0</v>
      </c>
      <c r="Q36" s="60">
        <v>0</v>
      </c>
      <c r="R36" s="60">
        <v>0</v>
      </c>
      <c r="S36" s="60">
        <v>0</v>
      </c>
      <c r="T36" s="60">
        <v>0</v>
      </c>
      <c r="U36" s="60">
        <v>0</v>
      </c>
      <c r="V36" s="60">
        <v>0</v>
      </c>
      <c r="W36" s="60">
        <v>0</v>
      </c>
    </row>
    <row r="37" spans="1:23" ht="15" customHeight="1">
      <c r="A37" s="55" t="s">
        <v>115</v>
      </c>
      <c r="B37" s="55" t="s">
        <v>116</v>
      </c>
      <c r="C37" s="56" t="s">
        <v>117</v>
      </c>
      <c r="D37" s="57">
        <v>46236</v>
      </c>
      <c r="E37" s="57">
        <v>46236</v>
      </c>
      <c r="F37" s="58" t="s">
        <v>102</v>
      </c>
      <c r="G37" s="58" t="s">
        <v>47</v>
      </c>
      <c r="H37" s="55" t="s">
        <v>33</v>
      </c>
      <c r="I37" s="59">
        <f t="shared" si="3"/>
        <v>2</v>
      </c>
      <c r="J37" s="60">
        <v>0</v>
      </c>
      <c r="K37" s="60">
        <v>0</v>
      </c>
      <c r="L37" s="46">
        <v>2</v>
      </c>
      <c r="M37" s="60">
        <v>0</v>
      </c>
      <c r="N37" s="60">
        <v>0</v>
      </c>
      <c r="O37" s="60">
        <v>0</v>
      </c>
      <c r="P37" s="60">
        <v>0</v>
      </c>
      <c r="Q37" s="60">
        <v>0</v>
      </c>
      <c r="R37" s="60">
        <v>0</v>
      </c>
      <c r="S37" s="60">
        <v>0</v>
      </c>
      <c r="T37" s="60">
        <v>0</v>
      </c>
      <c r="U37" s="60">
        <v>0</v>
      </c>
      <c r="V37" s="60">
        <v>0</v>
      </c>
      <c r="W37" s="60">
        <v>0</v>
      </c>
    </row>
    <row r="38" spans="1:23" ht="15" customHeight="1">
      <c r="A38" s="55" t="s">
        <v>118</v>
      </c>
      <c r="B38" s="55" t="s">
        <v>119</v>
      </c>
      <c r="C38" s="56" t="s">
        <v>120</v>
      </c>
      <c r="D38" s="57">
        <v>46236</v>
      </c>
      <c r="E38" s="57">
        <v>46236</v>
      </c>
      <c r="F38" s="58" t="s">
        <v>102</v>
      </c>
      <c r="G38" s="58" t="s">
        <v>37</v>
      </c>
      <c r="H38" s="55" t="s">
        <v>33</v>
      </c>
      <c r="I38" s="59">
        <f t="shared" si="3"/>
        <v>4</v>
      </c>
      <c r="J38" s="60">
        <v>0</v>
      </c>
      <c r="K38" s="60">
        <v>0</v>
      </c>
      <c r="L38" s="46">
        <v>2</v>
      </c>
      <c r="M38" s="60">
        <v>0</v>
      </c>
      <c r="N38" s="60">
        <v>0</v>
      </c>
      <c r="O38" s="60">
        <v>0</v>
      </c>
      <c r="P38" s="46">
        <v>2</v>
      </c>
      <c r="Q38" s="60">
        <v>0</v>
      </c>
      <c r="R38" s="60">
        <v>0</v>
      </c>
      <c r="S38" s="60">
        <v>0</v>
      </c>
      <c r="T38" s="60">
        <v>0</v>
      </c>
      <c r="U38" s="60">
        <v>0</v>
      </c>
      <c r="V38" s="60">
        <v>0</v>
      </c>
      <c r="W38" s="60">
        <v>0</v>
      </c>
    </row>
    <row r="39" spans="1:23" ht="15" customHeight="1">
      <c r="A39" s="55" t="s">
        <v>121</v>
      </c>
      <c r="B39" s="55" t="s">
        <v>122</v>
      </c>
      <c r="C39" s="56" t="s">
        <v>123</v>
      </c>
      <c r="D39" s="57">
        <v>46236</v>
      </c>
      <c r="E39" s="57">
        <v>46236</v>
      </c>
      <c r="F39" s="58" t="s">
        <v>102</v>
      </c>
      <c r="G39" s="58" t="s">
        <v>74</v>
      </c>
      <c r="H39" s="55" t="s">
        <v>33</v>
      </c>
      <c r="I39" s="59">
        <f t="shared" si="3"/>
        <v>3</v>
      </c>
      <c r="J39" s="60">
        <v>0</v>
      </c>
      <c r="K39" s="60">
        <v>0</v>
      </c>
      <c r="L39" s="60">
        <v>0</v>
      </c>
      <c r="M39" s="46">
        <v>3</v>
      </c>
      <c r="N39" s="60">
        <v>0</v>
      </c>
      <c r="O39" s="60">
        <v>0</v>
      </c>
      <c r="P39" s="60">
        <v>0</v>
      </c>
      <c r="Q39" s="60">
        <v>0</v>
      </c>
      <c r="R39" s="60">
        <v>0</v>
      </c>
      <c r="S39" s="60">
        <v>0</v>
      </c>
      <c r="T39" s="60">
        <v>0</v>
      </c>
      <c r="U39" s="60">
        <v>0</v>
      </c>
      <c r="V39" s="60">
        <v>0</v>
      </c>
      <c r="W39" s="60">
        <v>0</v>
      </c>
    </row>
    <row r="40" spans="1:23" ht="15" customHeight="1">
      <c r="A40" s="55" t="s">
        <v>124</v>
      </c>
      <c r="B40" s="55" t="s">
        <v>125</v>
      </c>
      <c r="C40" s="100" t="s">
        <v>126</v>
      </c>
      <c r="D40" s="57">
        <v>46237</v>
      </c>
      <c r="E40" s="57">
        <v>46237</v>
      </c>
      <c r="F40" s="58" t="s">
        <v>102</v>
      </c>
      <c r="G40" s="58" t="s">
        <v>47</v>
      </c>
      <c r="H40" s="55" t="s">
        <v>33</v>
      </c>
      <c r="I40" s="59">
        <f t="shared" si="3"/>
        <v>4</v>
      </c>
      <c r="J40" s="46">
        <v>1</v>
      </c>
      <c r="K40" s="60">
        <v>0</v>
      </c>
      <c r="L40" s="60">
        <v>0</v>
      </c>
      <c r="M40" s="46">
        <v>2</v>
      </c>
      <c r="N40" s="46">
        <v>1</v>
      </c>
      <c r="O40" s="60">
        <v>0</v>
      </c>
      <c r="P40" s="60">
        <v>0</v>
      </c>
      <c r="Q40" s="60">
        <v>0</v>
      </c>
      <c r="R40" s="60">
        <v>0</v>
      </c>
      <c r="S40" s="60">
        <v>0</v>
      </c>
      <c r="T40" s="60">
        <v>0</v>
      </c>
      <c r="U40" s="60">
        <v>0</v>
      </c>
      <c r="V40" s="60">
        <v>0</v>
      </c>
      <c r="W40" s="60">
        <v>0</v>
      </c>
    </row>
    <row r="41" spans="1:23" ht="15" customHeight="1">
      <c r="A41" s="55" t="s">
        <v>127</v>
      </c>
      <c r="B41" s="55" t="s">
        <v>128</v>
      </c>
      <c r="C41" s="61" t="s">
        <v>129</v>
      </c>
      <c r="D41" s="57">
        <v>46255</v>
      </c>
      <c r="E41" s="57">
        <v>46262</v>
      </c>
      <c r="F41" s="58" t="s">
        <v>102</v>
      </c>
      <c r="G41" s="58" t="s">
        <v>47</v>
      </c>
      <c r="H41" s="55" t="s">
        <v>33</v>
      </c>
      <c r="I41" s="59">
        <f t="shared" si="3"/>
        <v>6</v>
      </c>
      <c r="J41" s="60">
        <v>0</v>
      </c>
      <c r="K41" s="60">
        <v>0</v>
      </c>
      <c r="L41" s="60">
        <v>0</v>
      </c>
      <c r="M41" s="60">
        <v>0</v>
      </c>
      <c r="N41" s="60">
        <v>0</v>
      </c>
      <c r="O41" s="60">
        <v>0</v>
      </c>
      <c r="P41" s="60">
        <v>0</v>
      </c>
      <c r="Q41" s="60">
        <v>0</v>
      </c>
      <c r="R41" s="46">
        <v>1</v>
      </c>
      <c r="S41" s="46">
        <v>2</v>
      </c>
      <c r="T41" s="46">
        <v>3</v>
      </c>
      <c r="U41" s="60">
        <v>0</v>
      </c>
      <c r="V41" s="60">
        <v>0</v>
      </c>
      <c r="W41" s="60">
        <v>0</v>
      </c>
    </row>
    <row r="42" spans="1:23" ht="15" customHeight="1">
      <c r="A42" s="55" t="s">
        <v>130</v>
      </c>
      <c r="B42" s="55" t="s">
        <v>131</v>
      </c>
      <c r="C42" s="101" t="s">
        <v>132</v>
      </c>
      <c r="D42" s="57">
        <v>46262</v>
      </c>
      <c r="E42" s="57">
        <v>46266</v>
      </c>
      <c r="F42" s="58" t="s">
        <v>102</v>
      </c>
      <c r="G42" s="58" t="s">
        <v>47</v>
      </c>
      <c r="H42" s="55" t="s">
        <v>33</v>
      </c>
      <c r="I42" s="59">
        <f t="shared" si="3"/>
        <v>3</v>
      </c>
      <c r="J42" s="60">
        <v>0</v>
      </c>
      <c r="K42" s="60">
        <v>0</v>
      </c>
      <c r="L42" s="60">
        <v>0</v>
      </c>
      <c r="M42" s="60">
        <v>0</v>
      </c>
      <c r="N42" s="60">
        <v>0</v>
      </c>
      <c r="O42" s="60">
        <v>0</v>
      </c>
      <c r="P42" s="60">
        <v>0</v>
      </c>
      <c r="Q42" s="60">
        <v>0</v>
      </c>
      <c r="R42" s="60">
        <v>0</v>
      </c>
      <c r="S42" s="60">
        <v>0</v>
      </c>
      <c r="T42" s="46">
        <v>2</v>
      </c>
      <c r="U42" s="46">
        <v>1</v>
      </c>
      <c r="V42" s="60">
        <v>0</v>
      </c>
      <c r="W42" s="60">
        <v>0</v>
      </c>
    </row>
    <row r="43" spans="1:23" ht="15" customHeight="1">
      <c r="A43" s="55" t="s">
        <v>133</v>
      </c>
      <c r="B43" s="55" t="s">
        <v>134</v>
      </c>
      <c r="C43" s="100" t="s">
        <v>135</v>
      </c>
      <c r="D43" s="57">
        <v>46263</v>
      </c>
      <c r="E43" s="57">
        <v>46269</v>
      </c>
      <c r="F43" s="58" t="s">
        <v>102</v>
      </c>
      <c r="G43" s="58" t="s">
        <v>47</v>
      </c>
      <c r="H43" s="55" t="s">
        <v>33</v>
      </c>
      <c r="I43" s="59">
        <f t="shared" si="3"/>
        <v>4</v>
      </c>
      <c r="J43" s="60">
        <v>0</v>
      </c>
      <c r="K43" s="60">
        <v>0</v>
      </c>
      <c r="L43" s="60">
        <v>0</v>
      </c>
      <c r="M43" s="60">
        <v>0</v>
      </c>
      <c r="N43" s="60">
        <v>0</v>
      </c>
      <c r="O43" s="60">
        <v>0</v>
      </c>
      <c r="P43" s="60">
        <v>0</v>
      </c>
      <c r="Q43" s="60">
        <v>0</v>
      </c>
      <c r="R43" s="60">
        <v>0</v>
      </c>
      <c r="S43" s="60">
        <v>0</v>
      </c>
      <c r="T43" s="46">
        <v>2</v>
      </c>
      <c r="U43" s="46">
        <v>2</v>
      </c>
      <c r="V43" s="60">
        <v>0</v>
      </c>
      <c r="W43" s="60">
        <v>0</v>
      </c>
    </row>
    <row r="44" spans="1:23" ht="15" customHeight="1">
      <c r="A44" s="55"/>
      <c r="B44" s="55"/>
      <c r="C44" s="61"/>
      <c r="D44" s="57"/>
      <c r="E44" s="57"/>
      <c r="F44" s="58"/>
      <c r="G44" s="58"/>
      <c r="H44" s="55"/>
      <c r="I44" s="59"/>
      <c r="J44" s="60"/>
      <c r="K44" s="60"/>
      <c r="L44" s="60"/>
      <c r="M44" s="60"/>
      <c r="N44" s="60"/>
      <c r="O44" s="60"/>
      <c r="P44" s="60"/>
      <c r="Q44" s="60"/>
      <c r="R44" s="60"/>
      <c r="S44" s="60"/>
      <c r="T44" s="60"/>
      <c r="U44" s="60"/>
      <c r="V44" s="60"/>
      <c r="W44" s="60"/>
    </row>
    <row r="45" spans="1:23" ht="28.5" customHeight="1">
      <c r="A45" s="91" t="s">
        <v>136</v>
      </c>
      <c r="B45" s="91"/>
      <c r="C45" s="91"/>
      <c r="D45" s="91"/>
      <c r="E45" s="91"/>
      <c r="F45" s="91"/>
      <c r="G45" s="91"/>
      <c r="H45" s="91"/>
      <c r="I45" s="91"/>
      <c r="J45" s="91"/>
      <c r="K45" s="91"/>
      <c r="L45" s="91"/>
      <c r="M45" s="91"/>
      <c r="N45" s="91"/>
      <c r="O45" s="91"/>
      <c r="P45" s="91"/>
      <c r="Q45" s="91"/>
      <c r="R45" s="91"/>
      <c r="S45" s="91"/>
      <c r="T45" s="91"/>
      <c r="U45" s="91"/>
      <c r="V45" s="91"/>
      <c r="W45" s="91"/>
    </row>
    <row r="46" spans="1:23" ht="31.5" customHeight="1">
      <c r="A46" s="39" t="s">
        <v>1</v>
      </c>
      <c r="B46" s="39" t="s">
        <v>2</v>
      </c>
      <c r="C46" s="40" t="s">
        <v>3</v>
      </c>
      <c r="D46" s="39" t="s">
        <v>25</v>
      </c>
      <c r="E46" s="39" t="s">
        <v>26</v>
      </c>
      <c r="F46" s="39" t="s">
        <v>6</v>
      </c>
      <c r="G46" s="39" t="s">
        <v>7</v>
      </c>
      <c r="H46" s="39" t="s">
        <v>8</v>
      </c>
      <c r="I46" s="39" t="s">
        <v>27</v>
      </c>
      <c r="J46" s="39" t="s">
        <v>10</v>
      </c>
      <c r="K46" s="39" t="s">
        <v>11</v>
      </c>
      <c r="L46" s="39" t="s">
        <v>12</v>
      </c>
      <c r="M46" s="39" t="s">
        <v>13</v>
      </c>
      <c r="N46" s="39" t="s">
        <v>14</v>
      </c>
      <c r="O46" s="39" t="s">
        <v>15</v>
      </c>
      <c r="P46" s="39" t="s">
        <v>16</v>
      </c>
      <c r="Q46" s="39" t="s">
        <v>17</v>
      </c>
      <c r="R46" s="39" t="s">
        <v>18</v>
      </c>
      <c r="S46" s="39" t="s">
        <v>19</v>
      </c>
      <c r="T46" s="39" t="s">
        <v>20</v>
      </c>
      <c r="U46" s="39" t="s">
        <v>21</v>
      </c>
      <c r="V46" s="39" t="s">
        <v>22</v>
      </c>
      <c r="W46" s="39" t="s">
        <v>23</v>
      </c>
    </row>
    <row r="47" spans="1:23" s="34" customFormat="1" ht="15" customHeight="1">
      <c r="A47" s="62" t="s">
        <v>137</v>
      </c>
      <c r="B47" s="62" t="s">
        <v>138</v>
      </c>
      <c r="C47" s="63" t="s">
        <v>139</v>
      </c>
      <c r="D47" s="64">
        <v>46236</v>
      </c>
      <c r="E47" s="64">
        <v>46236</v>
      </c>
      <c r="F47" s="65" t="s">
        <v>140</v>
      </c>
      <c r="G47" s="65" t="s">
        <v>47</v>
      </c>
      <c r="H47" s="62" t="s">
        <v>33</v>
      </c>
      <c r="I47" s="66">
        <f>SUM(J47:W47)</f>
        <v>2.5</v>
      </c>
      <c r="J47" s="67">
        <v>0</v>
      </c>
      <c r="K47" s="67">
        <v>2</v>
      </c>
      <c r="L47" s="46">
        <v>0.5</v>
      </c>
      <c r="M47" s="67">
        <v>0</v>
      </c>
      <c r="N47" s="67">
        <v>0</v>
      </c>
      <c r="O47" s="67">
        <v>0</v>
      </c>
      <c r="P47" s="67">
        <v>0</v>
      </c>
      <c r="Q47" s="67">
        <v>0</v>
      </c>
      <c r="R47" s="67">
        <v>0</v>
      </c>
      <c r="S47" s="67">
        <v>0</v>
      </c>
      <c r="T47" s="67">
        <v>0</v>
      </c>
      <c r="U47" s="67">
        <v>0</v>
      </c>
      <c r="V47" s="67">
        <v>0</v>
      </c>
      <c r="W47" s="67">
        <v>0</v>
      </c>
    </row>
    <row r="48" spans="1:23" ht="15" customHeight="1">
      <c r="A48" s="62" t="s">
        <v>141</v>
      </c>
      <c r="B48" s="62" t="s">
        <v>142</v>
      </c>
      <c r="C48" s="63" t="s">
        <v>143</v>
      </c>
      <c r="D48" s="64">
        <v>46236</v>
      </c>
      <c r="E48" s="64">
        <v>46236</v>
      </c>
      <c r="F48" s="65" t="s">
        <v>140</v>
      </c>
      <c r="G48" s="65" t="s">
        <v>47</v>
      </c>
      <c r="H48" s="62" t="s">
        <v>33</v>
      </c>
      <c r="I48" s="66">
        <f t="shared" ref="I48:I51" si="4">SUM(J48:W48)</f>
        <v>2</v>
      </c>
      <c r="J48" s="67">
        <v>0</v>
      </c>
      <c r="K48" s="67">
        <v>0</v>
      </c>
      <c r="L48" s="46">
        <v>2</v>
      </c>
      <c r="M48" s="67">
        <v>0</v>
      </c>
      <c r="N48" s="67">
        <v>0</v>
      </c>
      <c r="O48" s="67">
        <v>0</v>
      </c>
      <c r="P48" s="67">
        <v>0</v>
      </c>
      <c r="Q48" s="67">
        <v>0</v>
      </c>
      <c r="R48" s="67">
        <v>0</v>
      </c>
      <c r="S48" s="67">
        <v>0</v>
      </c>
      <c r="T48" s="67">
        <v>0</v>
      </c>
      <c r="U48" s="67">
        <v>0</v>
      </c>
      <c r="V48" s="67">
        <v>0</v>
      </c>
      <c r="W48" s="67">
        <v>0</v>
      </c>
    </row>
    <row r="49" spans="1:23" ht="15" customHeight="1">
      <c r="A49" s="62" t="s">
        <v>144</v>
      </c>
      <c r="B49" s="62" t="s">
        <v>145</v>
      </c>
      <c r="C49" s="63" t="s">
        <v>146</v>
      </c>
      <c r="D49" s="64">
        <v>46236</v>
      </c>
      <c r="E49" s="64">
        <v>46236</v>
      </c>
      <c r="F49" s="65" t="s">
        <v>140</v>
      </c>
      <c r="G49" s="65" t="s">
        <v>47</v>
      </c>
      <c r="H49" s="62" t="s">
        <v>33</v>
      </c>
      <c r="I49" s="66">
        <f t="shared" si="4"/>
        <v>5</v>
      </c>
      <c r="J49" s="67">
        <v>2</v>
      </c>
      <c r="K49" s="67">
        <v>0</v>
      </c>
      <c r="L49" s="46">
        <v>3</v>
      </c>
      <c r="M49" s="67">
        <v>0</v>
      </c>
      <c r="N49" s="67">
        <v>0</v>
      </c>
      <c r="O49" s="67">
        <v>0</v>
      </c>
      <c r="P49" s="67">
        <v>0</v>
      </c>
      <c r="Q49" s="67">
        <v>0</v>
      </c>
      <c r="R49" s="67">
        <v>0</v>
      </c>
      <c r="S49" s="67">
        <v>0</v>
      </c>
      <c r="T49" s="67">
        <v>0</v>
      </c>
      <c r="U49" s="67">
        <v>0</v>
      </c>
      <c r="V49" s="67">
        <v>0</v>
      </c>
      <c r="W49" s="67">
        <v>0</v>
      </c>
    </row>
    <row r="50" spans="1:23" ht="15" customHeight="1">
      <c r="A50" s="62" t="s">
        <v>147</v>
      </c>
      <c r="B50" s="62" t="s">
        <v>148</v>
      </c>
      <c r="C50" s="63" t="s">
        <v>149</v>
      </c>
      <c r="D50" s="64">
        <v>46236</v>
      </c>
      <c r="E50" s="64">
        <v>46236</v>
      </c>
      <c r="F50" s="65" t="s">
        <v>140</v>
      </c>
      <c r="G50" s="65" t="s">
        <v>47</v>
      </c>
      <c r="H50" s="62" t="s">
        <v>33</v>
      </c>
      <c r="I50" s="66">
        <f t="shared" si="4"/>
        <v>2</v>
      </c>
      <c r="J50" s="67">
        <v>0</v>
      </c>
      <c r="K50" s="67">
        <v>0</v>
      </c>
      <c r="L50" s="46">
        <v>2</v>
      </c>
      <c r="M50" s="67">
        <v>0</v>
      </c>
      <c r="N50" s="67">
        <v>0</v>
      </c>
      <c r="O50" s="67">
        <v>0</v>
      </c>
      <c r="P50" s="67">
        <v>0</v>
      </c>
      <c r="Q50" s="67">
        <v>0</v>
      </c>
      <c r="R50" s="67">
        <v>0</v>
      </c>
      <c r="S50" s="67">
        <v>0</v>
      </c>
      <c r="T50" s="67">
        <v>0</v>
      </c>
      <c r="U50" s="67">
        <v>0</v>
      </c>
      <c r="V50" s="67">
        <v>0</v>
      </c>
      <c r="W50" s="67">
        <v>0</v>
      </c>
    </row>
    <row r="51" spans="1:23" ht="15" customHeight="1">
      <c r="A51" s="62" t="s">
        <v>150</v>
      </c>
      <c r="B51" s="62" t="s">
        <v>151</v>
      </c>
      <c r="C51" s="68" t="s">
        <v>152</v>
      </c>
      <c r="D51" s="64">
        <v>46237</v>
      </c>
      <c r="E51" s="64">
        <v>46237</v>
      </c>
      <c r="F51" s="65" t="s">
        <v>140</v>
      </c>
      <c r="G51" s="65" t="s">
        <v>47</v>
      </c>
      <c r="H51" s="62" t="s">
        <v>33</v>
      </c>
      <c r="I51" s="66">
        <f t="shared" si="4"/>
        <v>1</v>
      </c>
      <c r="J51" s="67">
        <v>0</v>
      </c>
      <c r="K51" s="67">
        <v>0</v>
      </c>
      <c r="L51" s="67">
        <v>0</v>
      </c>
      <c r="M51" s="46">
        <v>1</v>
      </c>
      <c r="N51" s="67">
        <v>0</v>
      </c>
      <c r="O51" s="67">
        <v>0</v>
      </c>
      <c r="P51" s="67">
        <v>0</v>
      </c>
      <c r="Q51" s="67">
        <v>0</v>
      </c>
      <c r="R51" s="67">
        <v>0</v>
      </c>
      <c r="S51" s="67">
        <v>0</v>
      </c>
      <c r="T51" s="67">
        <v>0</v>
      </c>
      <c r="U51" s="67">
        <v>0</v>
      </c>
      <c r="V51" s="67">
        <v>0</v>
      </c>
      <c r="W51" s="67">
        <v>0</v>
      </c>
    </row>
    <row r="52" spans="1:23" ht="15" customHeight="1">
      <c r="A52" s="62"/>
      <c r="B52" s="62"/>
      <c r="C52" s="68"/>
      <c r="D52" s="64"/>
      <c r="E52" s="64"/>
      <c r="F52" s="65"/>
      <c r="G52" s="65"/>
      <c r="H52" s="62"/>
      <c r="I52" s="66"/>
      <c r="J52" s="67"/>
      <c r="K52" s="67"/>
      <c r="L52" s="67"/>
      <c r="M52" s="67"/>
      <c r="N52" s="67"/>
      <c r="O52" s="67"/>
      <c r="P52" s="67"/>
      <c r="Q52" s="67"/>
      <c r="R52" s="67"/>
      <c r="S52" s="67"/>
      <c r="T52" s="67"/>
      <c r="U52" s="67"/>
      <c r="V52" s="67"/>
      <c r="W52" s="67"/>
    </row>
    <row r="53" spans="1:23" ht="30.75" customHeight="1">
      <c r="A53" s="91" t="s">
        <v>153</v>
      </c>
      <c r="B53" s="91"/>
      <c r="C53" s="91"/>
      <c r="D53" s="91"/>
      <c r="E53" s="91"/>
      <c r="F53" s="91"/>
      <c r="G53" s="91"/>
      <c r="H53" s="91"/>
      <c r="I53" s="91"/>
      <c r="J53" s="91"/>
      <c r="K53" s="91"/>
      <c r="L53" s="91"/>
      <c r="M53" s="91"/>
      <c r="N53" s="91"/>
      <c r="O53" s="91"/>
      <c r="P53" s="91"/>
      <c r="Q53" s="91"/>
      <c r="R53" s="91"/>
      <c r="S53" s="91"/>
      <c r="T53" s="91"/>
      <c r="U53" s="91"/>
      <c r="V53" s="91"/>
      <c r="W53" s="91"/>
    </row>
    <row r="54" spans="1:23" ht="33.75" customHeight="1">
      <c r="A54" s="39" t="s">
        <v>1</v>
      </c>
      <c r="B54" s="39" t="s">
        <v>2</v>
      </c>
      <c r="C54" s="40" t="s">
        <v>3</v>
      </c>
      <c r="D54" s="39" t="s">
        <v>25</v>
      </c>
      <c r="E54" s="39" t="s">
        <v>26</v>
      </c>
      <c r="F54" s="39" t="s">
        <v>6</v>
      </c>
      <c r="G54" s="39" t="s">
        <v>7</v>
      </c>
      <c r="H54" s="39" t="s">
        <v>8</v>
      </c>
      <c r="I54" s="39" t="s">
        <v>27</v>
      </c>
      <c r="J54" s="39" t="s">
        <v>10</v>
      </c>
      <c r="K54" s="39" t="s">
        <v>11</v>
      </c>
      <c r="L54" s="39" t="s">
        <v>12</v>
      </c>
      <c r="M54" s="39" t="s">
        <v>13</v>
      </c>
      <c r="N54" s="39" t="s">
        <v>14</v>
      </c>
      <c r="O54" s="39" t="s">
        <v>15</v>
      </c>
      <c r="P54" s="39" t="s">
        <v>16</v>
      </c>
      <c r="Q54" s="39" t="s">
        <v>17</v>
      </c>
      <c r="R54" s="39" t="s">
        <v>18</v>
      </c>
      <c r="S54" s="39" t="s">
        <v>19</v>
      </c>
      <c r="T54" s="39" t="s">
        <v>20</v>
      </c>
      <c r="U54" s="39" t="s">
        <v>21</v>
      </c>
      <c r="V54" s="39" t="s">
        <v>22</v>
      </c>
      <c r="W54" s="39" t="s">
        <v>23</v>
      </c>
    </row>
    <row r="55" spans="1:23" ht="15" customHeight="1">
      <c r="A55" s="35" t="s">
        <v>68</v>
      </c>
      <c r="B55" s="35" t="s">
        <v>69</v>
      </c>
      <c r="C55" s="69" t="s">
        <v>152</v>
      </c>
      <c r="D55" s="70">
        <v>46236</v>
      </c>
      <c r="E55" s="70">
        <v>46236</v>
      </c>
      <c r="F55" s="35" t="s">
        <v>154</v>
      </c>
      <c r="G55" s="15" t="s">
        <v>47</v>
      </c>
      <c r="H55" s="15" t="s">
        <v>33</v>
      </c>
      <c r="I55" s="71">
        <f>SUM(J55:W55)</f>
        <v>1</v>
      </c>
      <c r="J55" s="72">
        <v>0</v>
      </c>
      <c r="K55" s="72">
        <v>0</v>
      </c>
      <c r="L55" s="72">
        <v>0</v>
      </c>
      <c r="M55" s="46">
        <v>1</v>
      </c>
      <c r="N55" s="72">
        <v>0</v>
      </c>
      <c r="O55" s="72">
        <v>0</v>
      </c>
      <c r="P55" s="72">
        <v>0</v>
      </c>
      <c r="Q55" s="72">
        <v>0</v>
      </c>
      <c r="R55" s="72">
        <v>0</v>
      </c>
      <c r="S55" s="72">
        <v>0</v>
      </c>
      <c r="T55" s="72">
        <v>0</v>
      </c>
      <c r="U55" s="72">
        <v>0</v>
      </c>
      <c r="V55" s="72">
        <v>0</v>
      </c>
      <c r="W55" s="72">
        <v>0</v>
      </c>
    </row>
    <row r="56" spans="1:23" ht="15" customHeight="1">
      <c r="A56" s="35" t="s">
        <v>155</v>
      </c>
      <c r="B56" s="35" t="s">
        <v>156</v>
      </c>
      <c r="C56" s="16" t="s">
        <v>157</v>
      </c>
      <c r="D56" s="70">
        <v>46238</v>
      </c>
      <c r="E56" s="70">
        <v>46238</v>
      </c>
      <c r="F56" s="35" t="s">
        <v>154</v>
      </c>
      <c r="G56" s="15" t="s">
        <v>37</v>
      </c>
      <c r="H56" s="15" t="s">
        <v>33</v>
      </c>
      <c r="I56" s="71">
        <f t="shared" ref="I56:I60" si="5">SUM(J56:W56)</f>
        <v>1</v>
      </c>
      <c r="J56" s="72">
        <v>0</v>
      </c>
      <c r="K56" s="72">
        <v>0</v>
      </c>
      <c r="L56" s="72">
        <v>0</v>
      </c>
      <c r="M56" s="46">
        <v>1</v>
      </c>
      <c r="N56" s="72">
        <v>0</v>
      </c>
      <c r="O56" s="72">
        <v>0</v>
      </c>
      <c r="P56" s="72">
        <v>0</v>
      </c>
      <c r="Q56" s="72">
        <v>0</v>
      </c>
      <c r="R56" s="72">
        <v>0</v>
      </c>
      <c r="S56" s="72">
        <v>0</v>
      </c>
      <c r="T56" s="72">
        <v>0</v>
      </c>
      <c r="U56" s="72">
        <v>0</v>
      </c>
      <c r="V56" s="72">
        <v>0</v>
      </c>
      <c r="W56" s="72">
        <v>0</v>
      </c>
    </row>
    <row r="57" spans="1:23" ht="15" customHeight="1">
      <c r="A57" s="35" t="s">
        <v>158</v>
      </c>
      <c r="B57" s="35" t="s">
        <v>159</v>
      </c>
      <c r="C57" s="73" t="s">
        <v>160</v>
      </c>
      <c r="D57" s="70">
        <v>46238</v>
      </c>
      <c r="E57" s="70">
        <v>46239</v>
      </c>
      <c r="F57" s="35" t="s">
        <v>154</v>
      </c>
      <c r="G57" s="15" t="s">
        <v>37</v>
      </c>
      <c r="H57" s="15" t="s">
        <v>33</v>
      </c>
      <c r="I57" s="71">
        <f t="shared" si="5"/>
        <v>2.5</v>
      </c>
      <c r="J57" s="72">
        <v>0</v>
      </c>
      <c r="K57" s="72">
        <v>0</v>
      </c>
      <c r="L57" s="72">
        <v>0</v>
      </c>
      <c r="M57" s="46">
        <v>1</v>
      </c>
      <c r="N57" s="46">
        <v>1.5</v>
      </c>
      <c r="O57" s="72">
        <v>0</v>
      </c>
      <c r="P57" s="72">
        <v>0</v>
      </c>
      <c r="Q57" s="72">
        <v>0</v>
      </c>
      <c r="R57" s="72">
        <v>0</v>
      </c>
      <c r="S57" s="72">
        <v>0</v>
      </c>
      <c r="T57" s="72">
        <v>0</v>
      </c>
      <c r="U57" s="72">
        <v>0</v>
      </c>
      <c r="V57" s="72">
        <v>0</v>
      </c>
      <c r="W57" s="72">
        <v>0</v>
      </c>
    </row>
    <row r="58" spans="1:23" ht="15" customHeight="1">
      <c r="A58" s="35" t="s">
        <v>161</v>
      </c>
      <c r="B58" s="35" t="s">
        <v>162</v>
      </c>
      <c r="C58" s="97" t="s">
        <v>163</v>
      </c>
      <c r="D58" s="70">
        <v>46241</v>
      </c>
      <c r="E58" s="70">
        <v>46241</v>
      </c>
      <c r="F58" s="35" t="s">
        <v>154</v>
      </c>
      <c r="G58" s="15" t="s">
        <v>64</v>
      </c>
      <c r="H58" s="15" t="s">
        <v>33</v>
      </c>
      <c r="I58" s="71">
        <f t="shared" si="5"/>
        <v>1.5</v>
      </c>
      <c r="J58" s="72">
        <v>0</v>
      </c>
      <c r="K58" s="72">
        <v>0</v>
      </c>
      <c r="L58" s="72">
        <v>0</v>
      </c>
      <c r="M58" s="72">
        <v>0</v>
      </c>
      <c r="N58" s="72">
        <v>0</v>
      </c>
      <c r="O58" s="46">
        <v>1.5</v>
      </c>
      <c r="P58" s="72">
        <v>0</v>
      </c>
      <c r="Q58" s="72">
        <v>0</v>
      </c>
      <c r="R58" s="72">
        <v>0</v>
      </c>
      <c r="S58" s="72">
        <v>0</v>
      </c>
      <c r="T58" s="72">
        <v>0</v>
      </c>
      <c r="U58" s="72">
        <v>0</v>
      </c>
      <c r="V58" s="72">
        <v>0</v>
      </c>
      <c r="W58" s="72">
        <v>0</v>
      </c>
    </row>
    <row r="59" spans="1:23" ht="15" customHeight="1">
      <c r="A59" s="35" t="s">
        <v>164</v>
      </c>
      <c r="B59" s="35" t="s">
        <v>165</v>
      </c>
      <c r="C59" s="73" t="s">
        <v>166</v>
      </c>
      <c r="D59" s="70">
        <v>46242</v>
      </c>
      <c r="E59" s="70">
        <v>46243</v>
      </c>
      <c r="F59" s="35" t="s">
        <v>154</v>
      </c>
      <c r="G59" s="15" t="s">
        <v>37</v>
      </c>
      <c r="H59" s="15" t="s">
        <v>33</v>
      </c>
      <c r="I59" s="71">
        <f t="shared" si="5"/>
        <v>3.5</v>
      </c>
      <c r="J59" s="72">
        <v>0</v>
      </c>
      <c r="K59" s="72">
        <v>0</v>
      </c>
      <c r="L59" s="72">
        <v>0</v>
      </c>
      <c r="M59" s="72">
        <v>0</v>
      </c>
      <c r="N59" s="72">
        <v>0</v>
      </c>
      <c r="O59" s="46">
        <v>1</v>
      </c>
      <c r="P59" s="46">
        <v>2.5</v>
      </c>
      <c r="Q59" s="72">
        <v>0</v>
      </c>
      <c r="R59" s="72">
        <v>0</v>
      </c>
      <c r="S59" s="72">
        <v>0</v>
      </c>
      <c r="T59" s="72">
        <v>0</v>
      </c>
      <c r="U59" s="72">
        <v>0</v>
      </c>
      <c r="V59" s="72">
        <v>0</v>
      </c>
      <c r="W59" s="72">
        <v>0</v>
      </c>
    </row>
    <row r="60" spans="1:23" ht="15" customHeight="1">
      <c r="A60" s="35" t="s">
        <v>167</v>
      </c>
      <c r="B60" s="35" t="s">
        <v>168</v>
      </c>
      <c r="C60" s="97" t="s">
        <v>169</v>
      </c>
      <c r="D60" s="70">
        <v>46243</v>
      </c>
      <c r="E60" s="70">
        <v>46244</v>
      </c>
      <c r="F60" s="35" t="s">
        <v>154</v>
      </c>
      <c r="G60" s="15" t="s">
        <v>37</v>
      </c>
      <c r="H60" s="15" t="s">
        <v>33</v>
      </c>
      <c r="I60" s="71">
        <f t="shared" si="5"/>
        <v>2</v>
      </c>
      <c r="J60" s="72">
        <v>0</v>
      </c>
      <c r="K60" s="72">
        <v>0</v>
      </c>
      <c r="L60" s="72">
        <v>0</v>
      </c>
      <c r="M60" s="72">
        <v>0</v>
      </c>
      <c r="N60" s="72">
        <v>0</v>
      </c>
      <c r="O60" s="72">
        <v>0</v>
      </c>
      <c r="P60" s="72">
        <v>0</v>
      </c>
      <c r="Q60" s="46">
        <v>1</v>
      </c>
      <c r="R60" s="46">
        <v>1</v>
      </c>
      <c r="S60" s="72">
        <v>0</v>
      </c>
      <c r="T60" s="72">
        <v>0</v>
      </c>
      <c r="U60" s="72">
        <v>0</v>
      </c>
      <c r="V60" s="72">
        <v>0</v>
      </c>
      <c r="W60" s="72">
        <v>0</v>
      </c>
    </row>
    <row r="61" spans="1:23" ht="15" customHeight="1">
      <c r="A61" s="35"/>
      <c r="B61" s="35"/>
      <c r="C61" s="73"/>
      <c r="D61" s="70"/>
      <c r="E61" s="70"/>
      <c r="F61" s="35"/>
      <c r="G61" s="15"/>
      <c r="H61" s="15"/>
      <c r="I61" s="71"/>
      <c r="J61" s="72"/>
      <c r="K61" s="72"/>
      <c r="L61" s="72"/>
      <c r="M61" s="72"/>
      <c r="N61" s="72"/>
      <c r="O61" s="72"/>
      <c r="P61" s="72"/>
      <c r="Q61" s="72"/>
      <c r="R61" s="72"/>
      <c r="S61" s="72"/>
      <c r="T61" s="72"/>
      <c r="U61" s="72"/>
      <c r="V61" s="72"/>
      <c r="W61" s="72"/>
    </row>
    <row r="62" spans="1:23" ht="30.75" customHeight="1">
      <c r="A62" s="90" t="s">
        <v>170</v>
      </c>
      <c r="B62" s="91"/>
      <c r="C62" s="91"/>
      <c r="D62" s="91"/>
      <c r="E62" s="91"/>
      <c r="F62" s="91"/>
      <c r="G62" s="91"/>
      <c r="H62" s="91"/>
      <c r="I62" s="91"/>
      <c r="J62" s="91"/>
      <c r="K62" s="91"/>
      <c r="L62" s="91"/>
      <c r="M62" s="91"/>
      <c r="N62" s="91"/>
      <c r="O62" s="91"/>
      <c r="P62" s="91"/>
      <c r="Q62" s="91"/>
      <c r="R62" s="91"/>
      <c r="S62" s="91"/>
      <c r="T62" s="91"/>
      <c r="U62" s="91"/>
      <c r="V62" s="91"/>
      <c r="W62" s="91"/>
    </row>
    <row r="63" spans="1:23" ht="33.75" customHeight="1">
      <c r="A63" s="39" t="s">
        <v>1</v>
      </c>
      <c r="B63" s="39" t="s">
        <v>2</v>
      </c>
      <c r="C63" s="40" t="s">
        <v>3</v>
      </c>
      <c r="D63" s="39" t="s">
        <v>25</v>
      </c>
      <c r="E63" s="39" t="s">
        <v>26</v>
      </c>
      <c r="F63" s="39" t="s">
        <v>6</v>
      </c>
      <c r="G63" s="39" t="s">
        <v>7</v>
      </c>
      <c r="H63" s="39" t="s">
        <v>8</v>
      </c>
      <c r="I63" s="39" t="s">
        <v>27</v>
      </c>
      <c r="J63" s="39" t="s">
        <v>10</v>
      </c>
      <c r="K63" s="39" t="s">
        <v>11</v>
      </c>
      <c r="L63" s="39" t="s">
        <v>12</v>
      </c>
      <c r="M63" s="39" t="s">
        <v>13</v>
      </c>
      <c r="N63" s="39" t="s">
        <v>14</v>
      </c>
      <c r="O63" s="39" t="s">
        <v>15</v>
      </c>
      <c r="P63" s="39" t="s">
        <v>16</v>
      </c>
      <c r="Q63" s="39" t="s">
        <v>17</v>
      </c>
      <c r="R63" s="39" t="s">
        <v>18</v>
      </c>
      <c r="S63" s="39" t="s">
        <v>19</v>
      </c>
      <c r="T63" s="39" t="s">
        <v>20</v>
      </c>
      <c r="U63" s="39" t="s">
        <v>21</v>
      </c>
      <c r="V63" s="39" t="s">
        <v>22</v>
      </c>
      <c r="W63" s="39" t="s">
        <v>23</v>
      </c>
    </row>
    <row r="64" spans="1:23" ht="15" customHeight="1">
      <c r="A64" s="41" t="s">
        <v>171</v>
      </c>
      <c r="B64" s="41" t="s">
        <v>172</v>
      </c>
      <c r="C64" s="48" t="s">
        <v>173</v>
      </c>
      <c r="D64" s="44">
        <v>46248</v>
      </c>
      <c r="E64" s="44">
        <v>46248</v>
      </c>
      <c r="F64" s="41" t="s">
        <v>174</v>
      </c>
      <c r="G64" s="42" t="s">
        <v>64</v>
      </c>
      <c r="H64" s="42" t="s">
        <v>33</v>
      </c>
      <c r="I64" s="45">
        <f>SUM(J64:W64)</f>
        <v>2</v>
      </c>
      <c r="J64" s="47">
        <v>0</v>
      </c>
      <c r="K64" s="47">
        <v>0</v>
      </c>
      <c r="L64" s="47">
        <v>0</v>
      </c>
      <c r="M64" s="46">
        <v>2</v>
      </c>
      <c r="N64" s="47">
        <v>0</v>
      </c>
      <c r="O64" s="47">
        <v>0</v>
      </c>
      <c r="P64" s="47">
        <v>0</v>
      </c>
      <c r="Q64" s="47">
        <v>0</v>
      </c>
      <c r="R64" s="47">
        <v>0</v>
      </c>
      <c r="S64" s="47">
        <v>0</v>
      </c>
      <c r="T64" s="47">
        <v>0</v>
      </c>
      <c r="U64" s="47">
        <v>0</v>
      </c>
      <c r="V64" s="47">
        <v>0</v>
      </c>
      <c r="W64" s="47">
        <v>0</v>
      </c>
    </row>
    <row r="65" spans="1:23" ht="15" customHeight="1">
      <c r="A65" s="41" t="s">
        <v>175</v>
      </c>
      <c r="B65" s="41" t="s">
        <v>176</v>
      </c>
      <c r="C65" s="43" t="s">
        <v>152</v>
      </c>
      <c r="D65" s="44">
        <v>46274</v>
      </c>
      <c r="E65" s="44">
        <v>46274</v>
      </c>
      <c r="F65" s="41" t="s">
        <v>174</v>
      </c>
      <c r="G65" s="42" t="s">
        <v>47</v>
      </c>
      <c r="H65" s="42" t="s">
        <v>33</v>
      </c>
      <c r="I65" s="45">
        <f t="shared" ref="I65:I66" si="6">SUM(J65:W65)</f>
        <v>2</v>
      </c>
      <c r="J65" s="47">
        <v>0</v>
      </c>
      <c r="K65" s="47">
        <v>0</v>
      </c>
      <c r="L65" s="47">
        <v>0</v>
      </c>
      <c r="M65" s="47">
        <v>0</v>
      </c>
      <c r="N65" s="47">
        <v>0</v>
      </c>
      <c r="O65" s="46">
        <v>2</v>
      </c>
      <c r="P65" s="47">
        <v>0</v>
      </c>
      <c r="Q65" s="47">
        <v>0</v>
      </c>
      <c r="R65" s="47">
        <v>0</v>
      </c>
      <c r="S65" s="47">
        <v>0</v>
      </c>
      <c r="T65" s="47">
        <v>0</v>
      </c>
      <c r="U65" s="47">
        <v>0</v>
      </c>
      <c r="V65" s="47">
        <v>0</v>
      </c>
      <c r="W65" s="47">
        <v>0</v>
      </c>
    </row>
    <row r="66" spans="1:23" ht="15" customHeight="1">
      <c r="A66" s="41" t="s">
        <v>177</v>
      </c>
      <c r="B66" s="41" t="s">
        <v>178</v>
      </c>
      <c r="C66" s="102" t="s">
        <v>179</v>
      </c>
      <c r="D66" s="44">
        <v>46248</v>
      </c>
      <c r="E66" s="44">
        <v>46248</v>
      </c>
      <c r="F66" s="41" t="s">
        <v>174</v>
      </c>
      <c r="G66" s="42" t="s">
        <v>37</v>
      </c>
      <c r="H66" s="42" t="s">
        <v>33</v>
      </c>
      <c r="I66" s="45">
        <f t="shared" si="6"/>
        <v>1.5</v>
      </c>
      <c r="J66" s="47">
        <v>0</v>
      </c>
      <c r="K66" s="47">
        <v>0</v>
      </c>
      <c r="L66" s="47">
        <v>0</v>
      </c>
      <c r="M66" s="47">
        <v>0</v>
      </c>
      <c r="N66" s="46">
        <v>1.5</v>
      </c>
      <c r="O66" s="47">
        <v>0</v>
      </c>
      <c r="P66" s="47">
        <v>0</v>
      </c>
      <c r="Q66" s="47">
        <v>0</v>
      </c>
      <c r="R66" s="47">
        <v>0</v>
      </c>
      <c r="S66" s="47">
        <v>0</v>
      </c>
      <c r="T66" s="47">
        <v>0</v>
      </c>
      <c r="U66" s="47">
        <v>0</v>
      </c>
      <c r="V66" s="47">
        <v>0</v>
      </c>
      <c r="W66" s="47">
        <v>0</v>
      </c>
    </row>
    <row r="67" spans="1:23" ht="15" customHeight="1">
      <c r="A67" s="41"/>
      <c r="B67" s="41"/>
      <c r="C67" s="74"/>
      <c r="D67" s="44"/>
      <c r="E67" s="44"/>
      <c r="F67" s="41"/>
      <c r="G67" s="42"/>
      <c r="H67" s="42"/>
      <c r="I67" s="45"/>
      <c r="J67" s="47"/>
      <c r="K67" s="47"/>
      <c r="L67" s="47"/>
      <c r="M67" s="47"/>
      <c r="N67" s="47"/>
      <c r="O67" s="47"/>
      <c r="P67" s="47"/>
      <c r="Q67" s="47"/>
      <c r="R67" s="47"/>
      <c r="S67" s="47"/>
      <c r="T67" s="47"/>
      <c r="U67" s="47"/>
      <c r="V67" s="47"/>
      <c r="W67" s="47"/>
    </row>
    <row r="68" spans="1:23" ht="30.75" customHeight="1">
      <c r="A68" s="90" t="s">
        <v>180</v>
      </c>
      <c r="B68" s="91"/>
      <c r="C68" s="91"/>
      <c r="D68" s="91"/>
      <c r="E68" s="91"/>
      <c r="F68" s="91"/>
      <c r="G68" s="91"/>
      <c r="H68" s="91"/>
      <c r="I68" s="91"/>
      <c r="J68" s="91"/>
      <c r="K68" s="91"/>
      <c r="L68" s="91"/>
      <c r="M68" s="91"/>
      <c r="N68" s="91"/>
      <c r="O68" s="91"/>
      <c r="P68" s="91"/>
      <c r="Q68" s="91"/>
      <c r="R68" s="91"/>
      <c r="S68" s="91"/>
      <c r="T68" s="91"/>
      <c r="U68" s="91"/>
      <c r="V68" s="91"/>
      <c r="W68" s="91"/>
    </row>
    <row r="69" spans="1:23" ht="33.75" customHeight="1">
      <c r="A69" s="39" t="s">
        <v>1</v>
      </c>
      <c r="B69" s="39" t="s">
        <v>2</v>
      </c>
      <c r="C69" s="40" t="s">
        <v>3</v>
      </c>
      <c r="D69" s="39" t="s">
        <v>25</v>
      </c>
      <c r="E69" s="39" t="s">
        <v>26</v>
      </c>
      <c r="F69" s="39" t="s">
        <v>6</v>
      </c>
      <c r="G69" s="39" t="s">
        <v>7</v>
      </c>
      <c r="H69" s="39" t="s">
        <v>8</v>
      </c>
      <c r="I69" s="39" t="s">
        <v>27</v>
      </c>
      <c r="J69" s="39" t="s">
        <v>10</v>
      </c>
      <c r="K69" s="39" t="s">
        <v>11</v>
      </c>
      <c r="L69" s="39" t="s">
        <v>12</v>
      </c>
      <c r="M69" s="39" t="s">
        <v>13</v>
      </c>
      <c r="N69" s="39" t="s">
        <v>14</v>
      </c>
      <c r="O69" s="39" t="s">
        <v>15</v>
      </c>
      <c r="P69" s="39" t="s">
        <v>16</v>
      </c>
      <c r="Q69" s="39" t="s">
        <v>17</v>
      </c>
      <c r="R69" s="39" t="s">
        <v>18</v>
      </c>
      <c r="S69" s="39" t="s">
        <v>19</v>
      </c>
      <c r="T69" s="39" t="s">
        <v>20</v>
      </c>
      <c r="U69" s="39" t="s">
        <v>21</v>
      </c>
      <c r="V69" s="39" t="s">
        <v>22</v>
      </c>
      <c r="W69" s="39" t="s">
        <v>23</v>
      </c>
    </row>
    <row r="70" spans="1:23" ht="15" customHeight="1">
      <c r="A70" s="78" t="s">
        <v>181</v>
      </c>
      <c r="B70" s="78" t="s">
        <v>182</v>
      </c>
      <c r="C70" s="79" t="s">
        <v>152</v>
      </c>
      <c r="D70" s="80">
        <v>46246</v>
      </c>
      <c r="E70" s="80">
        <v>46247</v>
      </c>
      <c r="F70" s="78" t="s">
        <v>183</v>
      </c>
      <c r="G70" s="81" t="s">
        <v>47</v>
      </c>
      <c r="H70" s="81" t="s">
        <v>33</v>
      </c>
      <c r="I70" s="82">
        <f>SUM(J70:W70)</f>
        <v>2</v>
      </c>
      <c r="J70" s="83">
        <v>0</v>
      </c>
      <c r="K70" s="83">
        <v>0</v>
      </c>
      <c r="L70" s="83">
        <v>0</v>
      </c>
      <c r="M70" s="83">
        <v>0</v>
      </c>
      <c r="N70" s="46">
        <v>2</v>
      </c>
      <c r="O70" s="83">
        <v>0</v>
      </c>
      <c r="P70" s="83">
        <v>0</v>
      </c>
      <c r="Q70" s="83">
        <v>0</v>
      </c>
      <c r="R70" s="83">
        <v>0</v>
      </c>
      <c r="S70" s="83">
        <v>0</v>
      </c>
      <c r="T70" s="83">
        <v>0</v>
      </c>
      <c r="U70" s="83">
        <v>0</v>
      </c>
      <c r="V70" s="83">
        <v>0</v>
      </c>
      <c r="W70" s="83">
        <v>0</v>
      </c>
    </row>
    <row r="71" spans="1:23" ht="15" customHeight="1">
      <c r="A71" s="78" t="s">
        <v>184</v>
      </c>
      <c r="B71" s="78" t="s">
        <v>185</v>
      </c>
      <c r="C71" s="103" t="s">
        <v>186</v>
      </c>
      <c r="D71" s="80">
        <v>46266</v>
      </c>
      <c r="E71" s="80">
        <v>46275</v>
      </c>
      <c r="F71" s="78" t="s">
        <v>183</v>
      </c>
      <c r="G71" s="81" t="s">
        <v>60</v>
      </c>
      <c r="H71" s="81" t="s">
        <v>33</v>
      </c>
      <c r="I71" s="82">
        <f t="shared" ref="I71:I73" si="7">SUM(J71:W71)</f>
        <v>3</v>
      </c>
      <c r="J71" s="83">
        <v>0</v>
      </c>
      <c r="K71" s="83">
        <v>0</v>
      </c>
      <c r="L71" s="83">
        <v>0</v>
      </c>
      <c r="M71" s="83">
        <v>0</v>
      </c>
      <c r="N71" s="83">
        <v>0</v>
      </c>
      <c r="O71" s="83">
        <v>0</v>
      </c>
      <c r="P71" s="83">
        <v>0</v>
      </c>
      <c r="Q71" s="83">
        <v>0</v>
      </c>
      <c r="R71" s="46">
        <v>1</v>
      </c>
      <c r="S71" s="46">
        <v>2</v>
      </c>
      <c r="T71" s="83">
        <v>0</v>
      </c>
      <c r="U71" s="83">
        <v>0</v>
      </c>
      <c r="V71" s="83">
        <v>0</v>
      </c>
      <c r="W71" s="83">
        <v>0</v>
      </c>
    </row>
    <row r="72" spans="1:23" ht="15" customHeight="1">
      <c r="A72" s="78" t="s">
        <v>187</v>
      </c>
      <c r="B72" s="78" t="s">
        <v>188</v>
      </c>
      <c r="C72" s="84" t="s">
        <v>189</v>
      </c>
      <c r="D72" s="80">
        <v>46266</v>
      </c>
      <c r="E72" s="80">
        <v>46276</v>
      </c>
      <c r="F72" s="78" t="s">
        <v>183</v>
      </c>
      <c r="G72" s="81" t="s">
        <v>60</v>
      </c>
      <c r="H72" s="81" t="s">
        <v>33</v>
      </c>
      <c r="I72" s="82">
        <f t="shared" si="7"/>
        <v>5</v>
      </c>
      <c r="J72" s="83">
        <v>0</v>
      </c>
      <c r="K72" s="83">
        <v>0</v>
      </c>
      <c r="L72" s="83">
        <v>0</v>
      </c>
      <c r="M72" s="83">
        <v>0</v>
      </c>
      <c r="N72" s="83">
        <v>0</v>
      </c>
      <c r="O72" s="83">
        <v>0</v>
      </c>
      <c r="P72" s="83">
        <v>0</v>
      </c>
      <c r="Q72" s="83">
        <v>0</v>
      </c>
      <c r="R72" s="46">
        <v>1</v>
      </c>
      <c r="S72" s="46">
        <v>1</v>
      </c>
      <c r="T72" s="46">
        <v>3</v>
      </c>
      <c r="U72" s="83">
        <v>0</v>
      </c>
      <c r="V72" s="83">
        <v>0</v>
      </c>
      <c r="W72" s="83">
        <v>0</v>
      </c>
    </row>
    <row r="73" spans="1:23" ht="15" customHeight="1">
      <c r="A73" s="78" t="s">
        <v>190</v>
      </c>
      <c r="B73" s="78" t="s">
        <v>191</v>
      </c>
      <c r="C73" s="104" t="s">
        <v>192</v>
      </c>
      <c r="D73" s="80">
        <v>46266</v>
      </c>
      <c r="E73" s="80">
        <v>46277</v>
      </c>
      <c r="F73" s="78" t="s">
        <v>183</v>
      </c>
      <c r="G73" s="81" t="s">
        <v>60</v>
      </c>
      <c r="H73" s="81" t="s">
        <v>33</v>
      </c>
      <c r="I73" s="82">
        <f t="shared" si="7"/>
        <v>4</v>
      </c>
      <c r="J73" s="83">
        <v>0</v>
      </c>
      <c r="K73" s="83">
        <v>0</v>
      </c>
      <c r="L73" s="83">
        <v>0</v>
      </c>
      <c r="M73" s="83">
        <v>0</v>
      </c>
      <c r="N73" s="83">
        <v>0</v>
      </c>
      <c r="O73" s="83">
        <v>0</v>
      </c>
      <c r="P73" s="83">
        <v>0</v>
      </c>
      <c r="Q73" s="83">
        <v>0</v>
      </c>
      <c r="R73" s="83">
        <v>0</v>
      </c>
      <c r="S73" s="83">
        <v>0</v>
      </c>
      <c r="T73" s="46">
        <v>1</v>
      </c>
      <c r="U73" s="46">
        <v>3</v>
      </c>
      <c r="V73" s="83">
        <v>0</v>
      </c>
      <c r="W73" s="83">
        <v>0</v>
      </c>
    </row>
    <row r="74" spans="1:23" ht="15" customHeight="1">
      <c r="A74" s="78"/>
      <c r="B74" s="78"/>
      <c r="C74" s="104"/>
      <c r="D74" s="80"/>
      <c r="E74" s="80"/>
      <c r="F74" s="78"/>
      <c r="G74" s="81"/>
      <c r="H74" s="81"/>
      <c r="I74" s="82"/>
      <c r="J74" s="83"/>
      <c r="K74" s="83"/>
      <c r="L74" s="83"/>
      <c r="M74" s="83"/>
      <c r="N74" s="83"/>
      <c r="O74" s="83"/>
      <c r="P74" s="83"/>
      <c r="Q74" s="83"/>
      <c r="R74" s="83"/>
      <c r="S74" s="83"/>
      <c r="T74" s="46"/>
      <c r="U74" s="46"/>
      <c r="V74" s="83"/>
      <c r="W74" s="83"/>
    </row>
    <row r="75" spans="1:23" ht="30.75" customHeight="1">
      <c r="A75" s="90" t="s">
        <v>193</v>
      </c>
      <c r="B75" s="91"/>
      <c r="C75" s="91"/>
      <c r="D75" s="91"/>
      <c r="E75" s="91"/>
      <c r="F75" s="91"/>
      <c r="G75" s="91"/>
      <c r="H75" s="91"/>
      <c r="I75" s="91"/>
      <c r="J75" s="91"/>
      <c r="K75" s="91"/>
      <c r="L75" s="91"/>
      <c r="M75" s="91"/>
      <c r="N75" s="91"/>
      <c r="O75" s="91"/>
      <c r="P75" s="91"/>
      <c r="Q75" s="91"/>
      <c r="R75" s="91"/>
      <c r="S75" s="91"/>
      <c r="T75" s="91"/>
      <c r="U75" s="91"/>
      <c r="V75" s="91"/>
      <c r="W75" s="91"/>
    </row>
    <row r="76" spans="1:23" ht="33.75" customHeight="1">
      <c r="A76" s="39" t="s">
        <v>1</v>
      </c>
      <c r="B76" s="39" t="s">
        <v>2</v>
      </c>
      <c r="C76" s="40" t="s">
        <v>3</v>
      </c>
      <c r="D76" s="39" t="s">
        <v>25</v>
      </c>
      <c r="E76" s="39" t="s">
        <v>26</v>
      </c>
      <c r="F76" s="39" t="s">
        <v>6</v>
      </c>
      <c r="G76" s="39" t="s">
        <v>7</v>
      </c>
      <c r="H76" s="39" t="s">
        <v>8</v>
      </c>
      <c r="I76" s="39" t="s">
        <v>27</v>
      </c>
      <c r="J76" s="39" t="s">
        <v>10</v>
      </c>
      <c r="K76" s="39" t="s">
        <v>11</v>
      </c>
      <c r="L76" s="39" t="s">
        <v>12</v>
      </c>
      <c r="M76" s="39" t="s">
        <v>13</v>
      </c>
      <c r="N76" s="39" t="s">
        <v>14</v>
      </c>
      <c r="O76" s="39" t="s">
        <v>15</v>
      </c>
      <c r="P76" s="39" t="s">
        <v>16</v>
      </c>
      <c r="Q76" s="39" t="s">
        <v>17</v>
      </c>
      <c r="R76" s="39" t="s">
        <v>18</v>
      </c>
      <c r="S76" s="39" t="s">
        <v>19</v>
      </c>
      <c r="T76" s="39" t="s">
        <v>20</v>
      </c>
      <c r="U76" s="39" t="s">
        <v>21</v>
      </c>
      <c r="V76" s="39" t="s">
        <v>22</v>
      </c>
      <c r="W76" s="39" t="s">
        <v>23</v>
      </c>
    </row>
    <row r="77" spans="1:23" ht="15" customHeight="1">
      <c r="A77" s="35" t="s">
        <v>194</v>
      </c>
      <c r="B77" s="35" t="s">
        <v>195</v>
      </c>
      <c r="C77" s="97" t="s">
        <v>196</v>
      </c>
      <c r="D77" s="70">
        <v>46244</v>
      </c>
      <c r="E77" s="70">
        <v>46245</v>
      </c>
      <c r="F77" s="35" t="s">
        <v>197</v>
      </c>
      <c r="G77" s="15" t="s">
        <v>32</v>
      </c>
      <c r="H77" s="15" t="s">
        <v>33</v>
      </c>
      <c r="I77" s="71">
        <f>SUM(J77:W77)</f>
        <v>4</v>
      </c>
      <c r="J77" s="72">
        <v>0</v>
      </c>
      <c r="K77" s="72">
        <v>0</v>
      </c>
      <c r="L77" s="72">
        <v>0</v>
      </c>
      <c r="M77" s="72">
        <v>0</v>
      </c>
      <c r="N77" s="72">
        <v>0</v>
      </c>
      <c r="O77" s="72">
        <v>0</v>
      </c>
      <c r="P77" s="46">
        <v>2</v>
      </c>
      <c r="Q77" s="46">
        <v>2</v>
      </c>
      <c r="R77" s="72">
        <v>0</v>
      </c>
      <c r="S77" s="72">
        <v>0</v>
      </c>
      <c r="T77" s="72">
        <v>0</v>
      </c>
      <c r="U77" s="72">
        <v>0</v>
      </c>
      <c r="V77" s="72">
        <v>0</v>
      </c>
      <c r="W77" s="72">
        <v>0</v>
      </c>
    </row>
    <row r="78" spans="1:23" ht="15" customHeight="1">
      <c r="A78" s="35" t="s">
        <v>198</v>
      </c>
      <c r="B78" s="35" t="s">
        <v>199</v>
      </c>
      <c r="C78" s="97" t="s">
        <v>200</v>
      </c>
      <c r="D78" s="70">
        <v>46245</v>
      </c>
      <c r="E78" s="70">
        <v>46247</v>
      </c>
      <c r="F78" s="35" t="s">
        <v>197</v>
      </c>
      <c r="G78" s="15" t="s">
        <v>60</v>
      </c>
      <c r="H78" s="15" t="s">
        <v>33</v>
      </c>
      <c r="I78" s="71">
        <f t="shared" ref="I78:I85" si="8">SUM(J78:W78)</f>
        <v>4</v>
      </c>
      <c r="J78" s="72">
        <v>0</v>
      </c>
      <c r="K78" s="72">
        <v>0</v>
      </c>
      <c r="L78" s="72">
        <v>0</v>
      </c>
      <c r="M78" s="72">
        <v>0</v>
      </c>
      <c r="N78" s="72">
        <v>0</v>
      </c>
      <c r="O78" s="72">
        <v>0</v>
      </c>
      <c r="P78" s="72">
        <v>0</v>
      </c>
      <c r="Q78" s="46">
        <v>2</v>
      </c>
      <c r="R78" s="46">
        <v>2</v>
      </c>
      <c r="S78" s="72">
        <v>0</v>
      </c>
      <c r="T78" s="72">
        <v>0</v>
      </c>
      <c r="U78" s="72">
        <v>0</v>
      </c>
      <c r="V78" s="72">
        <v>0</v>
      </c>
      <c r="W78" s="72">
        <v>0</v>
      </c>
    </row>
    <row r="79" spans="1:23" ht="15" customHeight="1">
      <c r="A79" s="35" t="s">
        <v>201</v>
      </c>
      <c r="B79" s="35" t="s">
        <v>202</v>
      </c>
      <c r="C79" s="73" t="s">
        <v>203</v>
      </c>
      <c r="D79" s="70">
        <v>46249</v>
      </c>
      <c r="E79" s="70">
        <v>46252</v>
      </c>
      <c r="F79" s="35" t="s">
        <v>197</v>
      </c>
      <c r="G79" s="15" t="s">
        <v>47</v>
      </c>
      <c r="H79" s="15" t="s">
        <v>33</v>
      </c>
      <c r="I79" s="71">
        <f t="shared" si="8"/>
        <v>6</v>
      </c>
      <c r="J79" s="72">
        <v>0</v>
      </c>
      <c r="K79" s="72">
        <v>0</v>
      </c>
      <c r="L79" s="72">
        <v>0</v>
      </c>
      <c r="M79" s="72">
        <v>0</v>
      </c>
      <c r="N79" s="72">
        <v>0</v>
      </c>
      <c r="O79" s="72">
        <v>0</v>
      </c>
      <c r="P79" s="72">
        <v>0</v>
      </c>
      <c r="Q79" s="72">
        <v>0</v>
      </c>
      <c r="R79" s="72">
        <v>0</v>
      </c>
      <c r="S79" s="46">
        <v>4</v>
      </c>
      <c r="T79" s="46">
        <v>2</v>
      </c>
      <c r="U79" s="72">
        <v>0</v>
      </c>
      <c r="V79" s="72">
        <v>0</v>
      </c>
      <c r="W79" s="72">
        <v>0</v>
      </c>
    </row>
    <row r="80" spans="1:23" ht="15" customHeight="1">
      <c r="A80" s="35" t="s">
        <v>204</v>
      </c>
      <c r="B80" s="35" t="s">
        <v>205</v>
      </c>
      <c r="C80" s="105" t="s">
        <v>206</v>
      </c>
      <c r="D80" s="70">
        <v>46252</v>
      </c>
      <c r="E80" s="70">
        <v>46257</v>
      </c>
      <c r="F80" s="35" t="s">
        <v>197</v>
      </c>
      <c r="G80" s="15" t="s">
        <v>47</v>
      </c>
      <c r="H80" s="15" t="s">
        <v>33</v>
      </c>
      <c r="I80" s="71">
        <f t="shared" si="8"/>
        <v>3</v>
      </c>
      <c r="J80" s="72">
        <v>0</v>
      </c>
      <c r="K80" s="72">
        <v>0</v>
      </c>
      <c r="L80" s="72">
        <v>0</v>
      </c>
      <c r="M80" s="72">
        <v>0</v>
      </c>
      <c r="N80" s="72">
        <v>0</v>
      </c>
      <c r="O80" s="72">
        <v>0</v>
      </c>
      <c r="P80" s="72">
        <v>0</v>
      </c>
      <c r="Q80" s="72">
        <v>0</v>
      </c>
      <c r="R80" s="72">
        <v>0</v>
      </c>
      <c r="S80" s="72">
        <v>0</v>
      </c>
      <c r="T80" s="46">
        <v>3</v>
      </c>
      <c r="U80" s="72">
        <v>0</v>
      </c>
      <c r="V80" s="72">
        <v>0</v>
      </c>
      <c r="W80" s="72">
        <v>0</v>
      </c>
    </row>
    <row r="81" spans="1:23" ht="15" customHeight="1">
      <c r="A81" s="35" t="s">
        <v>207</v>
      </c>
      <c r="B81" s="35" t="s">
        <v>208</v>
      </c>
      <c r="C81" s="17" t="s">
        <v>209</v>
      </c>
      <c r="D81" s="70">
        <v>46254</v>
      </c>
      <c r="E81" s="70">
        <v>46259</v>
      </c>
      <c r="F81" s="35" t="s">
        <v>197</v>
      </c>
      <c r="G81" s="15" t="s">
        <v>74</v>
      </c>
      <c r="H81" s="15" t="s">
        <v>33</v>
      </c>
      <c r="I81" s="71">
        <f t="shared" si="8"/>
        <v>3</v>
      </c>
      <c r="J81" s="72">
        <v>0</v>
      </c>
      <c r="K81" s="72">
        <v>0</v>
      </c>
      <c r="L81" s="72">
        <v>0</v>
      </c>
      <c r="M81" s="72">
        <v>0</v>
      </c>
      <c r="N81" s="72">
        <v>0</v>
      </c>
      <c r="O81" s="72">
        <v>0</v>
      </c>
      <c r="P81" s="72">
        <v>0</v>
      </c>
      <c r="Q81" s="72">
        <v>0</v>
      </c>
      <c r="R81" s="72">
        <v>0</v>
      </c>
      <c r="S81" s="46">
        <v>2</v>
      </c>
      <c r="T81" s="72">
        <v>0</v>
      </c>
      <c r="U81" s="46">
        <v>1</v>
      </c>
      <c r="V81" s="72">
        <v>0</v>
      </c>
      <c r="W81" s="72">
        <v>0</v>
      </c>
    </row>
    <row r="82" spans="1:23" ht="15" customHeight="1">
      <c r="A82" s="35" t="s">
        <v>210</v>
      </c>
      <c r="B82" s="35" t="s">
        <v>211</v>
      </c>
      <c r="C82" s="105" t="s">
        <v>212</v>
      </c>
      <c r="D82" s="70">
        <v>46257</v>
      </c>
      <c r="E82" s="70">
        <v>46263</v>
      </c>
      <c r="F82" s="35" t="s">
        <v>197</v>
      </c>
      <c r="G82" s="15" t="s">
        <v>37</v>
      </c>
      <c r="H82" s="15" t="s">
        <v>33</v>
      </c>
      <c r="I82" s="71">
        <f t="shared" si="8"/>
        <v>4</v>
      </c>
      <c r="J82" s="72">
        <v>0</v>
      </c>
      <c r="K82" s="72">
        <v>0</v>
      </c>
      <c r="L82" s="72">
        <v>0</v>
      </c>
      <c r="M82" s="72">
        <v>0</v>
      </c>
      <c r="N82" s="72">
        <v>0</v>
      </c>
      <c r="O82" s="72">
        <v>0</v>
      </c>
      <c r="P82" s="72">
        <v>0</v>
      </c>
      <c r="Q82" s="72">
        <v>0</v>
      </c>
      <c r="R82" s="72">
        <v>0</v>
      </c>
      <c r="S82" s="72">
        <v>0</v>
      </c>
      <c r="T82" s="46">
        <v>2</v>
      </c>
      <c r="U82" s="46">
        <v>2</v>
      </c>
      <c r="V82" s="72">
        <v>0</v>
      </c>
      <c r="W82" s="72">
        <v>0</v>
      </c>
    </row>
    <row r="83" spans="1:23" ht="15" customHeight="1">
      <c r="A83" s="35" t="s">
        <v>213</v>
      </c>
      <c r="B83" s="35" t="s">
        <v>214</v>
      </c>
      <c r="C83" s="17" t="s">
        <v>215</v>
      </c>
      <c r="D83" s="70">
        <v>46264</v>
      </c>
      <c r="E83" s="70">
        <v>46265</v>
      </c>
      <c r="F83" s="35" t="s">
        <v>197</v>
      </c>
      <c r="G83" s="15" t="s">
        <v>37</v>
      </c>
      <c r="H83" s="15" t="s">
        <v>33</v>
      </c>
      <c r="I83" s="71">
        <f t="shared" si="8"/>
        <v>1</v>
      </c>
      <c r="J83" s="72">
        <v>0</v>
      </c>
      <c r="K83" s="72">
        <v>0</v>
      </c>
      <c r="L83" s="72">
        <v>0</v>
      </c>
      <c r="M83" s="72">
        <v>0</v>
      </c>
      <c r="N83" s="72">
        <v>0</v>
      </c>
      <c r="O83" s="72">
        <v>0</v>
      </c>
      <c r="P83" s="72">
        <v>0</v>
      </c>
      <c r="Q83" s="72">
        <v>0</v>
      </c>
      <c r="R83" s="72">
        <v>0</v>
      </c>
      <c r="S83" s="72">
        <v>0</v>
      </c>
      <c r="T83" s="72">
        <v>0</v>
      </c>
      <c r="U83" s="46">
        <v>1</v>
      </c>
      <c r="V83" s="72">
        <v>0</v>
      </c>
      <c r="W83" s="72">
        <v>0</v>
      </c>
    </row>
    <row r="84" spans="1:23" ht="15" customHeight="1">
      <c r="A84" s="35" t="s">
        <v>216</v>
      </c>
      <c r="B84" s="35" t="s">
        <v>217</v>
      </c>
      <c r="C84" s="106" t="s">
        <v>218</v>
      </c>
      <c r="D84" s="70">
        <v>46267</v>
      </c>
      <c r="E84" s="70">
        <v>46268</v>
      </c>
      <c r="F84" s="35" t="s">
        <v>197</v>
      </c>
      <c r="G84" s="15" t="s">
        <v>37</v>
      </c>
      <c r="H84" s="15" t="s">
        <v>33</v>
      </c>
      <c r="I84" s="71">
        <f t="shared" si="8"/>
        <v>2</v>
      </c>
      <c r="J84" s="72">
        <v>0</v>
      </c>
      <c r="K84" s="72">
        <v>0</v>
      </c>
      <c r="L84" s="72">
        <v>0</v>
      </c>
      <c r="M84" s="72">
        <v>0</v>
      </c>
      <c r="N84" s="72">
        <v>0</v>
      </c>
      <c r="O84" s="72">
        <v>0</v>
      </c>
      <c r="P84" s="72">
        <v>0</v>
      </c>
      <c r="Q84" s="72">
        <v>0</v>
      </c>
      <c r="R84" s="72">
        <v>0</v>
      </c>
      <c r="S84" s="72">
        <v>0</v>
      </c>
      <c r="T84" s="72">
        <v>0</v>
      </c>
      <c r="U84" s="72">
        <v>0</v>
      </c>
      <c r="V84" s="46">
        <v>2</v>
      </c>
      <c r="W84" s="72">
        <v>0</v>
      </c>
    </row>
    <row r="85" spans="1:23" ht="15" customHeight="1">
      <c r="A85" s="35" t="s">
        <v>219</v>
      </c>
      <c r="B85" s="35" t="s">
        <v>220</v>
      </c>
      <c r="C85" s="105" t="s">
        <v>221</v>
      </c>
      <c r="D85" s="70">
        <v>46267</v>
      </c>
      <c r="E85" s="70">
        <v>46268</v>
      </c>
      <c r="F85" s="35" t="s">
        <v>197</v>
      </c>
      <c r="G85" s="15" t="s">
        <v>37</v>
      </c>
      <c r="H85" s="15" t="s">
        <v>33</v>
      </c>
      <c r="I85" s="71">
        <f t="shared" si="8"/>
        <v>1</v>
      </c>
      <c r="J85" s="72">
        <v>0</v>
      </c>
      <c r="K85" s="72">
        <v>0</v>
      </c>
      <c r="L85" s="72">
        <v>0</v>
      </c>
      <c r="M85" s="72">
        <v>0</v>
      </c>
      <c r="N85" s="72">
        <v>0</v>
      </c>
      <c r="O85" s="72">
        <v>0</v>
      </c>
      <c r="P85" s="72">
        <v>0</v>
      </c>
      <c r="Q85" s="72">
        <v>0</v>
      </c>
      <c r="R85" s="72">
        <v>0</v>
      </c>
      <c r="S85" s="72">
        <v>0</v>
      </c>
      <c r="T85" s="72">
        <v>0</v>
      </c>
      <c r="U85" s="72">
        <v>0</v>
      </c>
      <c r="V85" s="46">
        <v>1</v>
      </c>
      <c r="W85" s="72">
        <v>0</v>
      </c>
    </row>
    <row r="86" spans="1:23" ht="15" customHeight="1">
      <c r="A86" s="35"/>
      <c r="B86" s="35"/>
      <c r="C86" s="17"/>
      <c r="D86" s="70"/>
      <c r="E86" s="70"/>
      <c r="F86" s="35"/>
      <c r="G86" s="15"/>
      <c r="H86" s="15"/>
      <c r="I86" s="71"/>
      <c r="J86" s="72"/>
      <c r="K86" s="72"/>
      <c r="L86" s="72"/>
      <c r="M86" s="72"/>
      <c r="N86" s="72"/>
      <c r="O86" s="72"/>
      <c r="P86" s="72"/>
      <c r="Q86" s="72"/>
      <c r="R86" s="72"/>
      <c r="S86" s="72"/>
      <c r="T86" s="72"/>
      <c r="U86" s="72"/>
      <c r="V86" s="72"/>
      <c r="W86" s="72"/>
    </row>
    <row r="87" spans="1:23" ht="30.75" customHeight="1">
      <c r="A87" s="90" t="s">
        <v>222</v>
      </c>
      <c r="B87" s="91"/>
      <c r="C87" s="91"/>
      <c r="D87" s="91"/>
      <c r="E87" s="91"/>
      <c r="F87" s="91"/>
      <c r="G87" s="91"/>
      <c r="H87" s="91"/>
      <c r="I87" s="91"/>
      <c r="J87" s="91"/>
      <c r="K87" s="91"/>
      <c r="L87" s="91"/>
      <c r="M87" s="91"/>
      <c r="N87" s="91"/>
      <c r="O87" s="91"/>
      <c r="P87" s="91"/>
      <c r="Q87" s="91"/>
      <c r="R87" s="91"/>
      <c r="S87" s="91"/>
      <c r="T87" s="91"/>
      <c r="U87" s="91"/>
      <c r="V87" s="91"/>
      <c r="W87" s="91"/>
    </row>
    <row r="88" spans="1:23" ht="33.75" customHeight="1">
      <c r="A88" s="39" t="s">
        <v>1</v>
      </c>
      <c r="B88" s="39" t="s">
        <v>2</v>
      </c>
      <c r="C88" s="40" t="s">
        <v>3</v>
      </c>
      <c r="D88" s="39" t="s">
        <v>25</v>
      </c>
      <c r="E88" s="39" t="s">
        <v>26</v>
      </c>
      <c r="F88" s="39" t="s">
        <v>6</v>
      </c>
      <c r="G88" s="39" t="s">
        <v>7</v>
      </c>
      <c r="H88" s="39" t="s">
        <v>8</v>
      </c>
      <c r="I88" s="39" t="s">
        <v>27</v>
      </c>
      <c r="J88" s="39" t="s">
        <v>10</v>
      </c>
      <c r="K88" s="39" t="s">
        <v>11</v>
      </c>
      <c r="L88" s="39" t="s">
        <v>12</v>
      </c>
      <c r="M88" s="39" t="s">
        <v>13</v>
      </c>
      <c r="N88" s="39" t="s">
        <v>14</v>
      </c>
      <c r="O88" s="39" t="s">
        <v>15</v>
      </c>
      <c r="P88" s="39" t="s">
        <v>16</v>
      </c>
      <c r="Q88" s="39" t="s">
        <v>17</v>
      </c>
      <c r="R88" s="39" t="s">
        <v>18</v>
      </c>
      <c r="S88" s="39" t="s">
        <v>19</v>
      </c>
      <c r="T88" s="39" t="s">
        <v>20</v>
      </c>
      <c r="U88" s="39" t="s">
        <v>21</v>
      </c>
      <c r="V88" s="39" t="s">
        <v>22</v>
      </c>
      <c r="W88" s="39" t="s">
        <v>23</v>
      </c>
    </row>
    <row r="89" spans="1:23" ht="15" customHeight="1">
      <c r="A89" s="49" t="s">
        <v>223</v>
      </c>
      <c r="B89" s="49" t="s">
        <v>224</v>
      </c>
      <c r="C89" s="85"/>
      <c r="D89" s="51"/>
      <c r="E89" s="51"/>
      <c r="F89" s="49" t="s">
        <v>225</v>
      </c>
      <c r="G89" s="52"/>
      <c r="H89" s="52" t="s">
        <v>226</v>
      </c>
      <c r="I89" s="53">
        <f>SUM(J89:W89)</f>
        <v>0</v>
      </c>
      <c r="J89" s="54">
        <v>0</v>
      </c>
      <c r="K89" s="54">
        <v>0</v>
      </c>
      <c r="L89" s="54">
        <v>0</v>
      </c>
      <c r="M89" s="54">
        <v>0</v>
      </c>
      <c r="N89" s="54">
        <v>0</v>
      </c>
      <c r="O89" s="54">
        <v>0</v>
      </c>
      <c r="P89" s="54">
        <v>0</v>
      </c>
      <c r="Q89" s="54">
        <v>0</v>
      </c>
      <c r="R89" s="54">
        <v>0</v>
      </c>
      <c r="S89" s="54">
        <v>0</v>
      </c>
      <c r="T89" s="54">
        <v>0</v>
      </c>
      <c r="U89" s="54"/>
      <c r="V89" s="54"/>
      <c r="W89" s="54"/>
    </row>
    <row r="90" spans="1:23" ht="15" customHeight="1">
      <c r="A90" s="49" t="s">
        <v>223</v>
      </c>
      <c r="B90" s="49" t="s">
        <v>224</v>
      </c>
      <c r="C90" s="50"/>
      <c r="D90" s="51"/>
      <c r="E90" s="51"/>
      <c r="F90" s="49" t="s">
        <v>225</v>
      </c>
      <c r="G90" s="52"/>
      <c r="H90" s="52" t="s">
        <v>226</v>
      </c>
      <c r="I90" s="53">
        <f t="shared" ref="I90" si="9">SUM(J90:W90)</f>
        <v>0</v>
      </c>
      <c r="J90" s="54">
        <v>0</v>
      </c>
      <c r="K90" s="54">
        <v>0</v>
      </c>
      <c r="L90" s="54">
        <v>0</v>
      </c>
      <c r="M90" s="54">
        <v>0</v>
      </c>
      <c r="N90" s="54">
        <v>0</v>
      </c>
      <c r="O90" s="54">
        <v>0</v>
      </c>
      <c r="P90" s="54">
        <v>0</v>
      </c>
      <c r="Q90" s="54">
        <v>0</v>
      </c>
      <c r="R90" s="54">
        <v>0</v>
      </c>
      <c r="S90" s="54">
        <v>0</v>
      </c>
      <c r="T90" s="54">
        <v>0</v>
      </c>
      <c r="U90" s="54"/>
      <c r="V90" s="54"/>
      <c r="W90" s="54"/>
    </row>
    <row r="91" spans="1:23" ht="15" customHeight="1">
      <c r="A91" s="49"/>
      <c r="B91" s="49"/>
      <c r="C91" s="86"/>
      <c r="D91" s="51"/>
      <c r="E91" s="51"/>
      <c r="F91" s="49"/>
      <c r="G91" s="52"/>
      <c r="H91" s="52"/>
      <c r="I91" s="53"/>
      <c r="J91" s="54"/>
      <c r="K91" s="54"/>
      <c r="L91" s="54"/>
      <c r="M91" s="54"/>
      <c r="N91" s="54"/>
      <c r="O91" s="54"/>
      <c r="P91" s="54"/>
      <c r="Q91" s="54"/>
      <c r="R91" s="54"/>
      <c r="S91" s="54"/>
      <c r="T91" s="54"/>
      <c r="U91" s="54"/>
      <c r="V91" s="54"/>
      <c r="W91" s="54"/>
    </row>
    <row r="92" spans="1:23" ht="30.75" customHeight="1">
      <c r="A92" s="90" t="s">
        <v>227</v>
      </c>
      <c r="B92" s="91"/>
      <c r="C92" s="91"/>
      <c r="D92" s="91"/>
      <c r="E92" s="91"/>
      <c r="F92" s="91"/>
      <c r="G92" s="91"/>
      <c r="H92" s="91"/>
      <c r="I92" s="91"/>
      <c r="J92" s="91"/>
      <c r="K92" s="91"/>
      <c r="L92" s="91"/>
      <c r="M92" s="91"/>
      <c r="N92" s="91"/>
      <c r="O92" s="91"/>
      <c r="P92" s="91"/>
      <c r="Q92" s="91"/>
      <c r="R92" s="91"/>
      <c r="S92" s="91"/>
      <c r="T92" s="91"/>
      <c r="U92" s="91"/>
      <c r="V92" s="91"/>
      <c r="W92" s="91"/>
    </row>
    <row r="93" spans="1:23" ht="33.75" customHeight="1">
      <c r="A93" s="39" t="s">
        <v>1</v>
      </c>
      <c r="B93" s="39" t="s">
        <v>2</v>
      </c>
      <c r="C93" s="40" t="s">
        <v>3</v>
      </c>
      <c r="D93" s="39" t="s">
        <v>25</v>
      </c>
      <c r="E93" s="39" t="s">
        <v>26</v>
      </c>
      <c r="F93" s="39" t="s">
        <v>6</v>
      </c>
      <c r="G93" s="39" t="s">
        <v>7</v>
      </c>
      <c r="H93" s="39" t="s">
        <v>8</v>
      </c>
      <c r="I93" s="39" t="s">
        <v>27</v>
      </c>
      <c r="J93" s="39" t="s">
        <v>10</v>
      </c>
      <c r="K93" s="39" t="s">
        <v>11</v>
      </c>
      <c r="L93" s="39" t="s">
        <v>12</v>
      </c>
      <c r="M93" s="39" t="s">
        <v>13</v>
      </c>
      <c r="N93" s="39" t="s">
        <v>14</v>
      </c>
      <c r="O93" s="39" t="s">
        <v>15</v>
      </c>
      <c r="P93" s="39" t="s">
        <v>16</v>
      </c>
      <c r="Q93" s="39" t="s">
        <v>17</v>
      </c>
      <c r="R93" s="39" t="s">
        <v>18</v>
      </c>
      <c r="S93" s="39" t="s">
        <v>19</v>
      </c>
      <c r="T93" s="39" t="s">
        <v>20</v>
      </c>
      <c r="U93" s="39" t="s">
        <v>21</v>
      </c>
      <c r="V93" s="39" t="s">
        <v>22</v>
      </c>
      <c r="W93" s="39" t="s">
        <v>23</v>
      </c>
    </row>
    <row r="94" spans="1:23" ht="15" customHeight="1">
      <c r="A94" s="49" t="s">
        <v>223</v>
      </c>
      <c r="B94" s="41" t="s">
        <v>224</v>
      </c>
      <c r="C94" s="48"/>
      <c r="D94" s="44"/>
      <c r="E94" s="44"/>
      <c r="F94" s="41" t="s">
        <v>228</v>
      </c>
      <c r="G94" s="42"/>
      <c r="H94" s="42" t="s">
        <v>226</v>
      </c>
      <c r="I94" s="45">
        <f>SUM(J94:W94)</f>
        <v>0</v>
      </c>
      <c r="J94" s="47">
        <v>0</v>
      </c>
      <c r="K94" s="47">
        <v>0</v>
      </c>
      <c r="L94" s="47">
        <v>0</v>
      </c>
      <c r="M94" s="47">
        <v>0</v>
      </c>
      <c r="N94" s="47">
        <v>0</v>
      </c>
      <c r="O94" s="47">
        <v>0</v>
      </c>
      <c r="P94" s="47">
        <v>0</v>
      </c>
      <c r="Q94" s="47">
        <v>0</v>
      </c>
      <c r="R94" s="47">
        <v>0</v>
      </c>
      <c r="S94" s="47">
        <v>0</v>
      </c>
      <c r="T94" s="47">
        <v>0</v>
      </c>
      <c r="U94" s="47"/>
      <c r="V94" s="47"/>
      <c r="W94" s="47"/>
    </row>
    <row r="95" spans="1:23" ht="15" customHeight="1">
      <c r="A95" s="49" t="s">
        <v>223</v>
      </c>
      <c r="B95" s="41" t="s">
        <v>224</v>
      </c>
      <c r="C95" s="43"/>
      <c r="D95" s="44"/>
      <c r="E95" s="44"/>
      <c r="F95" s="41" t="s">
        <v>228</v>
      </c>
      <c r="G95" s="42"/>
      <c r="H95" s="42" t="s">
        <v>226</v>
      </c>
      <c r="I95" s="45">
        <f t="shared" ref="I95" si="10">SUM(J95:W95)</f>
        <v>0</v>
      </c>
      <c r="J95" s="47">
        <v>0</v>
      </c>
      <c r="K95" s="47">
        <v>0</v>
      </c>
      <c r="L95" s="47">
        <v>0</v>
      </c>
      <c r="M95" s="47">
        <v>0</v>
      </c>
      <c r="N95" s="47">
        <v>0</v>
      </c>
      <c r="O95" s="47">
        <v>0</v>
      </c>
      <c r="P95" s="47">
        <v>0</v>
      </c>
      <c r="Q95" s="47">
        <v>0</v>
      </c>
      <c r="R95" s="47">
        <v>0</v>
      </c>
      <c r="S95" s="47">
        <v>0</v>
      </c>
      <c r="T95" s="47">
        <v>0</v>
      </c>
      <c r="U95" s="47"/>
      <c r="V95" s="47"/>
      <c r="W95" s="47"/>
    </row>
    <row r="96" spans="1:23" ht="15" customHeight="1">
      <c r="A96" s="49"/>
      <c r="B96" s="41"/>
      <c r="C96" s="74"/>
      <c r="D96" s="44"/>
      <c r="E96" s="44"/>
      <c r="F96" s="41"/>
      <c r="G96" s="42"/>
      <c r="H96" s="42"/>
      <c r="I96" s="45"/>
      <c r="J96" s="47"/>
      <c r="K96" s="47"/>
      <c r="L96" s="47"/>
      <c r="M96" s="47"/>
      <c r="N96" s="47"/>
      <c r="O96" s="47"/>
      <c r="P96" s="47"/>
      <c r="Q96" s="47"/>
      <c r="R96" s="47"/>
      <c r="S96" s="47"/>
      <c r="T96" s="47"/>
      <c r="U96" s="47"/>
      <c r="V96" s="47"/>
      <c r="W96" s="47"/>
    </row>
  </sheetData>
  <mergeCells count="19">
    <mergeCell ref="A1:W1"/>
    <mergeCell ref="H2:H3"/>
    <mergeCell ref="G2:G3"/>
    <mergeCell ref="F2:F3"/>
    <mergeCell ref="E2:E3"/>
    <mergeCell ref="D2:D3"/>
    <mergeCell ref="C2:C3"/>
    <mergeCell ref="B2:B3"/>
    <mergeCell ref="A2:A3"/>
    <mergeCell ref="A23:W23"/>
    <mergeCell ref="A30:W30"/>
    <mergeCell ref="A45:W45"/>
    <mergeCell ref="A53:W53"/>
    <mergeCell ref="A4:W4"/>
    <mergeCell ref="A68:W68"/>
    <mergeCell ref="A75:W75"/>
    <mergeCell ref="A87:W87"/>
    <mergeCell ref="A92:W92"/>
    <mergeCell ref="A62:W62"/>
  </mergeCells>
  <phoneticPr fontId="1" type="noConversion"/>
  <dataValidations count="11">
    <dataValidation allowBlank="1" showInputMessage="1" showErrorMessage="1" promptTitle="Please don't fill this column" prompt="Please don't fill this column, It calculate total Est, hours took to complete this tasks" sqref="I47:I52 I32:I44 I64:I67 I70:I74 I25:I29 I55:I61 I77:I86 I6:I22 I89:I91 I94:I96" xr:uid="{454E2D41-B31A-46BE-9098-93AF076DD0E4}"/>
    <dataValidation type="list" allowBlank="1" showInputMessage="1" showErrorMessage="1" sqref="H47:H52 H32:H44 H64:H67 H77:H86 H25:H29 H55:H61 H70:H74 H6:H22 H89:H91 H94:H96" xr:uid="{4DB8AA8D-2494-47D6-ACFC-8869DA5037AC}">
      <formula1>"1- Not Started,2- In Progress,3- Completed"</formula1>
    </dataValidation>
    <dataValidation type="list" allowBlank="1" showInputMessage="1" showErrorMessage="1" promptTitle="Select from dropdown" prompt="Select input from dropdown" sqref="G51:G52" xr:uid="{94B7521F-C953-493F-AB1F-D78A1CA4650E}">
      <formula1>"Plan, Code, Test, Build, Design, Documentation, Other"</formula1>
    </dataValidation>
    <dataValidation type="list" allowBlank="1" showInputMessage="1" showErrorMessage="1" prompt="Select from dropdown" sqref="G47:G50 G32:G44 G25:G29 G6:G22" xr:uid="{C39C8D4A-53F7-4657-9600-7F14ACEED65D}">
      <formula1>"Plan, Code, Test, Build, Design, Documentation, Other"</formula1>
    </dataValidation>
    <dataValidation type="list" allowBlank="1" showInputMessage="1" showErrorMessage="1" prompt="Select from dropdown" sqref="G64:G67 G55:G61 G70:G74 G77:G86 G89:G91 G94:G96" xr:uid="{43C001F9-88F5-41DA-98BE-0D8D86C28B96}">
      <formula1>"Plan, Code, Test, Build, Design, Documentation, Othe"</formula1>
    </dataValidation>
    <dataValidation type="date" allowBlank="1" showInputMessage="1" showErrorMessage="1" sqref="E44 D77:E86" xr:uid="{9E18B8C1-97F8-40A4-98E4-542552E4A26E}">
      <formula1>46234</formula1>
      <formula2>46275</formula2>
    </dataValidation>
    <dataValidation type="date" allowBlank="1" showInputMessage="1" showErrorMessage="1" prompt="Please enter the dates in either of these formats: _x000a_9/15/2026  or 15-Sep-2026" sqref="E22 E19:E20" xr:uid="{C973F77E-BD0B-4041-8F30-D9CFCF16D0DA}">
      <formula1>46234</formula1>
      <formula2>46275</formula2>
    </dataValidation>
    <dataValidation type="list" errorStyle="information" allowBlank="1" showInputMessage="1" showErrorMessage="1" errorTitle="Select from dropwown" error="Click on cell, Click on dropdown arrow, Select your name" prompt="Select your name" sqref="F47:F52 F32:F44 F55:F61 F64:F67" xr:uid="{D15B5D0F-9FC2-4091-A487-5D483F450104}">
      <formula1>"Saurabh, Disha, Aishwarya, Rithika, Moulika, Phani, Thanvika, Pratush, Thanvika, Sanjivani, Anil"</formula1>
    </dataValidation>
    <dataValidation type="list" errorStyle="information" allowBlank="1" showInputMessage="1" showErrorMessage="1" errorTitle="Select from dropwown" error="Click on cell, Click on dropdown arrow, Select your name" prompt="Select your name" sqref="F25:F29 F77:F86 F70:F74 F6:F22 F89:F91 F94:F96" xr:uid="{B81CFA53-4D12-4F37-8109-16E258CFEAFA}">
      <formula1>"Saurabh, Disha, Aishwarya, Rithika, Moulika, Phani, Thanvika, Pratush, Sanjivani, Anil"</formula1>
    </dataValidation>
    <dataValidation type="date" allowBlank="1" showInputMessage="1" showErrorMessage="1" prompt="Please enter the dates in either of these formats: _x000a_9/15/2026  or 15-Sep-2026" sqref="E21 E6:E18 D6:D20" xr:uid="{DC5D0DD9-D35E-4813-BC50-8A222DC3C427}">
      <formula1>46234</formula1>
      <formula2>46285</formula2>
    </dataValidation>
    <dataValidation type="date" allowBlank="1" showInputMessage="1" showErrorMessage="1" sqref="D32:D44 D64:E67 D47:E52 E31:E43 D25:E29 D55:E61 D70:E74 D89:E91 D94:E96" xr:uid="{B1DED0A8-8635-4B3E-9333-3CBF34814CCD}">
      <formula1>46234</formula1>
      <formula2>46325</formula2>
    </dataValidation>
  </dataValidations>
  <pageMargins left="0.7" right="0.7" top="0.75" bottom="0.75" header="0.3" footer="0.3"/>
  <pageSetup paperSize="9"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5B1B-3216-4466-B89A-D36F0BC34070}">
  <sheetPr codeName="Sheet3">
    <tabColor theme="5" tint="0.59999389629810485"/>
  </sheetPr>
  <dimension ref="A1:BE91"/>
  <sheetViews>
    <sheetView zoomScale="90" zoomScaleNormal="90" workbookViewId="0">
      <selection activeCell="I31" sqref="I1:BE31"/>
    </sheetView>
  </sheetViews>
  <sheetFormatPr defaultRowHeight="13.15"/>
  <cols>
    <col min="1" max="1" width="14.7109375" style="14" customWidth="1"/>
    <col min="2" max="2" width="13.28515625" style="14" customWidth="1"/>
    <col min="3" max="3" width="12" style="14" customWidth="1"/>
    <col min="4" max="4" width="77.42578125" customWidth="1"/>
    <col min="5" max="5" width="17.28515625" customWidth="1"/>
    <col min="6" max="6" width="15.28515625" customWidth="1"/>
    <col min="7" max="7" width="14.28515625" customWidth="1"/>
    <col min="8" max="8" width="20.42578125" customWidth="1"/>
  </cols>
  <sheetData>
    <row r="1" spans="1:57" s="13" customFormat="1" ht="29.45" customHeight="1">
      <c r="A1" s="12" t="s">
        <v>229</v>
      </c>
      <c r="B1" s="12" t="s">
        <v>230</v>
      </c>
      <c r="C1" s="12" t="s">
        <v>1</v>
      </c>
      <c r="D1" s="12" t="s">
        <v>231</v>
      </c>
      <c r="E1" s="12" t="s">
        <v>232</v>
      </c>
      <c r="F1" s="12" t="s">
        <v>233</v>
      </c>
      <c r="G1" s="12" t="s">
        <v>234</v>
      </c>
      <c r="H1" s="12" t="s">
        <v>8</v>
      </c>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row>
    <row r="2" spans="1:57" s="9" customFormat="1" ht="15" customHeight="1">
      <c r="A2" s="7" t="s">
        <v>235</v>
      </c>
      <c r="B2" s="7" t="s">
        <v>235</v>
      </c>
      <c r="C2" s="7" t="s">
        <v>28</v>
      </c>
      <c r="D2" s="6" t="s">
        <v>236</v>
      </c>
      <c r="E2" s="107" t="s">
        <v>237</v>
      </c>
      <c r="F2" s="7" t="s">
        <v>51</v>
      </c>
      <c r="G2" s="107" t="s">
        <v>31</v>
      </c>
      <c r="H2" s="107" t="s">
        <v>238</v>
      </c>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row>
    <row r="3" spans="1:57" s="9" customFormat="1" ht="15" customHeight="1">
      <c r="A3" s="7" t="s">
        <v>235</v>
      </c>
      <c r="B3" s="7" t="s">
        <v>235</v>
      </c>
      <c r="C3" s="7" t="s">
        <v>34</v>
      </c>
      <c r="D3" s="108" t="s">
        <v>239</v>
      </c>
      <c r="E3" s="7" t="s">
        <v>237</v>
      </c>
      <c r="F3" s="109" t="s">
        <v>240</v>
      </c>
      <c r="G3" s="107" t="s">
        <v>31</v>
      </c>
      <c r="H3" s="109" t="s">
        <v>238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row>
    <row r="4" spans="1:57" s="9" customFormat="1" ht="15" customHeight="1">
      <c r="A4" s="7" t="s">
        <v>235</v>
      </c>
      <c r="B4" s="7" t="s">
        <v>235</v>
      </c>
      <c r="C4" s="7" t="s">
        <v>38</v>
      </c>
      <c r="D4" s="6" t="s">
        <v>241</v>
      </c>
      <c r="E4" s="7" t="s">
        <v>237</v>
      </c>
      <c r="F4" s="7" t="s">
        <v>28</v>
      </c>
      <c r="G4" s="107" t="s">
        <v>31</v>
      </c>
      <c r="H4" s="109" t="s">
        <v>238</v>
      </c>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row>
    <row r="5" spans="1:57" s="9" customFormat="1" ht="15" customHeight="1">
      <c r="A5" s="7" t="s">
        <v>235</v>
      </c>
      <c r="B5" s="7" t="s">
        <v>235</v>
      </c>
      <c r="C5" s="7" t="s">
        <v>41</v>
      </c>
      <c r="D5" s="108" t="s">
        <v>242</v>
      </c>
      <c r="E5" s="7" t="s">
        <v>237</v>
      </c>
      <c r="F5" s="7" t="s">
        <v>34</v>
      </c>
      <c r="G5" s="107" t="s">
        <v>31</v>
      </c>
      <c r="H5" s="109" t="s">
        <v>238</v>
      </c>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row>
    <row r="6" spans="1:57" s="9" customFormat="1" ht="15" customHeight="1">
      <c r="A6" s="7" t="s">
        <v>235</v>
      </c>
      <c r="B6" s="7" t="s">
        <v>235</v>
      </c>
      <c r="C6" s="7" t="s">
        <v>44</v>
      </c>
      <c r="D6" s="6" t="s">
        <v>243</v>
      </c>
      <c r="E6" s="7" t="s">
        <v>237</v>
      </c>
      <c r="F6" s="7" t="s">
        <v>34</v>
      </c>
      <c r="G6" s="107" t="s">
        <v>31</v>
      </c>
      <c r="H6" s="109" t="s">
        <v>238</v>
      </c>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row>
    <row r="7" spans="1:57" s="9" customFormat="1" ht="15" customHeight="1">
      <c r="A7" s="7" t="s">
        <v>235</v>
      </c>
      <c r="B7" s="7" t="s">
        <v>235</v>
      </c>
      <c r="C7" s="7" t="s">
        <v>48</v>
      </c>
      <c r="D7" s="6" t="s">
        <v>244</v>
      </c>
      <c r="E7" s="7" t="s">
        <v>237</v>
      </c>
      <c r="F7" s="7" t="s">
        <v>34</v>
      </c>
      <c r="G7" s="107" t="s">
        <v>31</v>
      </c>
      <c r="H7" s="109" t="s">
        <v>238</v>
      </c>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row>
    <row r="8" spans="1:57" s="9" customFormat="1" ht="15" customHeight="1">
      <c r="A8" s="7" t="s">
        <v>235</v>
      </c>
      <c r="B8" s="7" t="s">
        <v>235</v>
      </c>
      <c r="C8" s="7" t="s">
        <v>51</v>
      </c>
      <c r="D8" s="6" t="s">
        <v>245</v>
      </c>
      <c r="E8" s="109" t="s">
        <v>246</v>
      </c>
      <c r="F8" s="7" t="s">
        <v>28</v>
      </c>
      <c r="G8" s="107" t="s">
        <v>31</v>
      </c>
      <c r="H8" s="109" t="s">
        <v>238</v>
      </c>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row>
    <row r="9" spans="1:57" s="10" customFormat="1" ht="15" customHeight="1">
      <c r="A9" s="7" t="s">
        <v>235</v>
      </c>
      <c r="B9" s="7" t="s">
        <v>235</v>
      </c>
      <c r="C9" s="7" t="s">
        <v>57</v>
      </c>
      <c r="D9" s="110" t="s">
        <v>247</v>
      </c>
      <c r="E9" s="111" t="s">
        <v>246</v>
      </c>
      <c r="F9" s="111" t="s">
        <v>41</v>
      </c>
      <c r="G9" s="111" t="s">
        <v>31</v>
      </c>
      <c r="H9" s="111" t="s">
        <v>238</v>
      </c>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row>
    <row r="10" spans="1:57" s="9" customFormat="1" ht="15" customHeight="1">
      <c r="A10" s="7" t="s">
        <v>235</v>
      </c>
      <c r="B10" s="7" t="s">
        <v>235</v>
      </c>
      <c r="C10" s="7" t="s">
        <v>177</v>
      </c>
      <c r="D10" s="6" t="s">
        <v>248</v>
      </c>
      <c r="E10" s="107" t="s">
        <v>246</v>
      </c>
      <c r="F10" s="7" t="s">
        <v>41</v>
      </c>
      <c r="G10" s="107" t="s">
        <v>31</v>
      </c>
      <c r="H10" s="107" t="s">
        <v>238</v>
      </c>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row>
    <row r="11" spans="1:57" s="10" customFormat="1" ht="15" customHeight="1">
      <c r="A11" s="7" t="s">
        <v>235</v>
      </c>
      <c r="B11" s="7" t="s">
        <v>235</v>
      </c>
      <c r="C11" s="7" t="s">
        <v>127</v>
      </c>
      <c r="D11" s="110" t="s">
        <v>249</v>
      </c>
      <c r="E11" s="111" t="s">
        <v>246</v>
      </c>
      <c r="F11" s="111" t="s">
        <v>41</v>
      </c>
      <c r="G11" s="111" t="s">
        <v>31</v>
      </c>
      <c r="H11" s="111" t="s">
        <v>238</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row>
    <row r="12" spans="1:57" s="10" customFormat="1" ht="15" customHeight="1">
      <c r="A12" s="7" t="s">
        <v>235</v>
      </c>
      <c r="B12" s="7" t="s">
        <v>235</v>
      </c>
      <c r="C12" s="7" t="s">
        <v>130</v>
      </c>
      <c r="D12" s="110" t="s">
        <v>250</v>
      </c>
      <c r="E12" s="111" t="s">
        <v>237</v>
      </c>
      <c r="F12" s="111" t="s">
        <v>57</v>
      </c>
      <c r="G12" s="111" t="s">
        <v>31</v>
      </c>
      <c r="H12" s="111" t="s">
        <v>238</v>
      </c>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row>
    <row r="13" spans="1:57" s="10" customFormat="1" ht="15" customHeight="1">
      <c r="A13" s="113" t="s">
        <v>251</v>
      </c>
      <c r="B13" s="113" t="s">
        <v>251</v>
      </c>
      <c r="C13" s="113" t="s">
        <v>54</v>
      </c>
      <c r="D13" s="146" t="s">
        <v>252</v>
      </c>
      <c r="E13" s="75" t="s">
        <v>237</v>
      </c>
      <c r="F13" s="75" t="s">
        <v>44</v>
      </c>
      <c r="G13" s="75" t="s">
        <v>88</v>
      </c>
      <c r="H13" s="75" t="s">
        <v>238</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row>
    <row r="14" spans="1:57" s="10" customFormat="1" ht="15" customHeight="1">
      <c r="A14" s="113" t="s">
        <v>251</v>
      </c>
      <c r="B14" s="113" t="s">
        <v>251</v>
      </c>
      <c r="C14" s="113" t="s">
        <v>99</v>
      </c>
      <c r="D14" s="146" t="s">
        <v>253</v>
      </c>
      <c r="E14" s="75" t="s">
        <v>237</v>
      </c>
      <c r="F14" s="75" t="s">
        <v>48</v>
      </c>
      <c r="G14" s="75" t="s">
        <v>88</v>
      </c>
      <c r="H14" s="75" t="s">
        <v>238</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row>
    <row r="15" spans="1:57" s="10" customFormat="1" ht="15" customHeight="1">
      <c r="A15" s="113" t="s">
        <v>251</v>
      </c>
      <c r="B15" s="113" t="s">
        <v>251</v>
      </c>
      <c r="C15" s="113" t="s">
        <v>103</v>
      </c>
      <c r="D15" s="146" t="s">
        <v>254</v>
      </c>
      <c r="E15" s="75" t="s">
        <v>237</v>
      </c>
      <c r="F15" s="75" t="s">
        <v>51</v>
      </c>
      <c r="G15" s="75" t="s">
        <v>88</v>
      </c>
      <c r="H15" s="75" t="s">
        <v>238</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row>
    <row r="16" spans="1:57" s="10" customFormat="1" ht="15" customHeight="1">
      <c r="A16" s="113" t="s">
        <v>251</v>
      </c>
      <c r="B16" s="113" t="s">
        <v>251</v>
      </c>
      <c r="C16" s="113" t="s">
        <v>106</v>
      </c>
      <c r="D16" s="146" t="s">
        <v>255</v>
      </c>
      <c r="E16" s="147" t="s">
        <v>237</v>
      </c>
      <c r="F16" s="75" t="s">
        <v>54</v>
      </c>
      <c r="G16" s="75" t="s">
        <v>88</v>
      </c>
      <c r="H16" s="75" t="s">
        <v>238</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row>
    <row r="17" spans="1:57" s="10" customFormat="1" ht="15" customHeight="1">
      <c r="A17" s="113" t="s">
        <v>251</v>
      </c>
      <c r="B17" s="113" t="s">
        <v>251</v>
      </c>
      <c r="C17" s="113" t="s">
        <v>109</v>
      </c>
      <c r="D17" s="146" t="s">
        <v>256</v>
      </c>
      <c r="E17" s="147" t="s">
        <v>237</v>
      </c>
      <c r="F17" s="75" t="s">
        <v>57</v>
      </c>
      <c r="G17" s="75" t="s">
        <v>88</v>
      </c>
      <c r="H17" s="75" t="s">
        <v>238</v>
      </c>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row>
    <row r="18" spans="1:57" s="10" customFormat="1" ht="15" customHeight="1">
      <c r="A18" s="113" t="s">
        <v>251</v>
      </c>
      <c r="B18" s="113" t="s">
        <v>251</v>
      </c>
      <c r="C18" s="113" t="s">
        <v>112</v>
      </c>
      <c r="D18" s="146" t="s">
        <v>257</v>
      </c>
      <c r="E18" s="148" t="s">
        <v>237</v>
      </c>
      <c r="F18" s="75" t="s">
        <v>99</v>
      </c>
      <c r="G18" s="75" t="s">
        <v>88</v>
      </c>
      <c r="H18" s="148" t="s">
        <v>238</v>
      </c>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row>
    <row r="19" spans="1:57" s="8" customFormat="1" ht="15" customHeight="1">
      <c r="A19" s="113" t="s">
        <v>251</v>
      </c>
      <c r="B19" s="113" t="s">
        <v>251</v>
      </c>
      <c r="C19" s="113" t="s">
        <v>115</v>
      </c>
      <c r="D19" s="114" t="s">
        <v>258</v>
      </c>
      <c r="E19" s="113" t="s">
        <v>246</v>
      </c>
      <c r="F19" s="113" t="s">
        <v>103</v>
      </c>
      <c r="G19" s="113" t="s">
        <v>88</v>
      </c>
      <c r="H19" s="113" t="s">
        <v>238</v>
      </c>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row>
    <row r="20" spans="1:57" s="8" customFormat="1" ht="15" customHeight="1">
      <c r="A20" s="113" t="s">
        <v>251</v>
      </c>
      <c r="B20" s="113" t="s">
        <v>251</v>
      </c>
      <c r="C20" s="113" t="s">
        <v>118</v>
      </c>
      <c r="D20" s="114" t="s">
        <v>259</v>
      </c>
      <c r="E20" s="113" t="s">
        <v>246</v>
      </c>
      <c r="F20" s="113" t="s">
        <v>106</v>
      </c>
      <c r="G20" s="113" t="s">
        <v>88</v>
      </c>
      <c r="H20" s="113" t="s">
        <v>238</v>
      </c>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row>
    <row r="21" spans="1:57" s="8" customFormat="1" ht="15" customHeight="1">
      <c r="A21" s="113" t="s">
        <v>251</v>
      </c>
      <c r="B21" s="113" t="s">
        <v>251</v>
      </c>
      <c r="C21" s="113" t="s">
        <v>121</v>
      </c>
      <c r="D21" s="114" t="s">
        <v>260</v>
      </c>
      <c r="E21" s="113" t="s">
        <v>261</v>
      </c>
      <c r="F21" s="113" t="s">
        <v>109</v>
      </c>
      <c r="G21" s="113" t="s">
        <v>88</v>
      </c>
      <c r="H21" s="113" t="s">
        <v>238</v>
      </c>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row>
    <row r="22" spans="1:57" s="8" customFormat="1" ht="15" customHeight="1">
      <c r="A22" s="149" t="s">
        <v>262</v>
      </c>
      <c r="B22" s="149" t="s">
        <v>262</v>
      </c>
      <c r="C22" s="149" t="s">
        <v>124</v>
      </c>
      <c r="D22" s="150" t="s">
        <v>263</v>
      </c>
      <c r="E22" s="149" t="s">
        <v>237</v>
      </c>
      <c r="F22" s="149" t="s">
        <v>54</v>
      </c>
      <c r="G22" s="149" t="s">
        <v>102</v>
      </c>
      <c r="H22" s="149" t="s">
        <v>238</v>
      </c>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row>
    <row r="23" spans="1:57" s="8" customFormat="1" ht="15" customHeight="1">
      <c r="A23" s="149" t="s">
        <v>262</v>
      </c>
      <c r="B23" s="149" t="s">
        <v>262</v>
      </c>
      <c r="C23" s="149" t="s">
        <v>137</v>
      </c>
      <c r="D23" s="150" t="s">
        <v>264</v>
      </c>
      <c r="E23" s="149" t="s">
        <v>237</v>
      </c>
      <c r="F23" s="149" t="s">
        <v>124</v>
      </c>
      <c r="G23" s="149" t="s">
        <v>102</v>
      </c>
      <c r="H23" s="149" t="s">
        <v>238</v>
      </c>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row>
    <row r="24" spans="1:57" s="8" customFormat="1" ht="15" customHeight="1">
      <c r="A24" s="149" t="s">
        <v>262</v>
      </c>
      <c r="B24" s="149" t="s">
        <v>262</v>
      </c>
      <c r="C24" s="149" t="s">
        <v>141</v>
      </c>
      <c r="D24" s="150" t="s">
        <v>265</v>
      </c>
      <c r="E24" s="149" t="s">
        <v>237</v>
      </c>
      <c r="F24" s="149" t="s">
        <v>137</v>
      </c>
      <c r="G24" s="149" t="s">
        <v>102</v>
      </c>
      <c r="H24" s="149" t="s">
        <v>238</v>
      </c>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row>
    <row r="25" spans="1:57" s="11" customFormat="1" ht="15" customHeight="1">
      <c r="A25" s="151" t="s">
        <v>262</v>
      </c>
      <c r="B25" s="151" t="s">
        <v>262</v>
      </c>
      <c r="C25" s="152" t="s">
        <v>144</v>
      </c>
      <c r="D25" s="153" t="s">
        <v>266</v>
      </c>
      <c r="E25" s="154" t="s">
        <v>246</v>
      </c>
      <c r="F25" s="151" t="s">
        <v>141</v>
      </c>
      <c r="G25" s="155" t="s">
        <v>102</v>
      </c>
      <c r="H25" s="151" t="s">
        <v>238</v>
      </c>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row>
    <row r="26" spans="1:57" s="16" customFormat="1" ht="15" customHeight="1">
      <c r="A26" s="156" t="s">
        <v>262</v>
      </c>
      <c r="B26" s="156" t="s">
        <v>262</v>
      </c>
      <c r="C26" s="157" t="s">
        <v>147</v>
      </c>
      <c r="D26" s="158" t="s">
        <v>267</v>
      </c>
      <c r="E26" s="156" t="s">
        <v>237</v>
      </c>
      <c r="F26" s="156" t="s">
        <v>144</v>
      </c>
      <c r="G26" s="159" t="s">
        <v>102</v>
      </c>
      <c r="H26" s="156" t="s">
        <v>238</v>
      </c>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row>
    <row r="27" spans="1:57" s="16" customFormat="1" ht="15" customHeight="1">
      <c r="A27" s="156" t="s">
        <v>262</v>
      </c>
      <c r="B27" s="156" t="s">
        <v>262</v>
      </c>
      <c r="C27" s="156" t="s">
        <v>150</v>
      </c>
      <c r="D27" s="160" t="s">
        <v>268</v>
      </c>
      <c r="E27" s="156" t="s">
        <v>246</v>
      </c>
      <c r="F27" s="156" t="s">
        <v>147</v>
      </c>
      <c r="G27" s="156" t="s">
        <v>102</v>
      </c>
      <c r="H27" s="156" t="s">
        <v>238</v>
      </c>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row>
    <row r="28" spans="1:57" s="16" customFormat="1" ht="15" customHeight="1">
      <c r="A28" s="143" t="s">
        <v>269</v>
      </c>
      <c r="B28" s="143" t="s">
        <v>269</v>
      </c>
      <c r="C28" s="144" t="s">
        <v>61</v>
      </c>
      <c r="D28" s="145" t="s">
        <v>270</v>
      </c>
      <c r="E28" s="143" t="s">
        <v>237</v>
      </c>
      <c r="F28" s="143" t="s">
        <v>150</v>
      </c>
      <c r="G28" s="143" t="s">
        <v>271</v>
      </c>
      <c r="H28" s="143" t="s">
        <v>238</v>
      </c>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row>
    <row r="29" spans="1:57" s="16" customFormat="1" ht="15" customHeight="1">
      <c r="A29" s="115" t="s">
        <v>272</v>
      </c>
      <c r="B29" s="115" t="s">
        <v>272</v>
      </c>
      <c r="C29" s="116" t="s">
        <v>161</v>
      </c>
      <c r="D29" s="117" t="s">
        <v>273</v>
      </c>
      <c r="E29" s="115" t="s">
        <v>237</v>
      </c>
      <c r="F29" s="115" t="s">
        <v>144</v>
      </c>
      <c r="G29" s="115" t="s">
        <v>154</v>
      </c>
      <c r="H29" s="115" t="s">
        <v>238</v>
      </c>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row>
    <row r="30" spans="1:57" s="89" customFormat="1" ht="12.75">
      <c r="A30" s="115" t="s">
        <v>272</v>
      </c>
      <c r="B30" s="115" t="s">
        <v>272</v>
      </c>
      <c r="C30" s="116" t="s">
        <v>164</v>
      </c>
      <c r="D30" s="118" t="s">
        <v>160</v>
      </c>
      <c r="E30" s="115" t="s">
        <v>246</v>
      </c>
      <c r="F30" s="119" t="s">
        <v>161</v>
      </c>
      <c r="G30" s="115" t="s">
        <v>154</v>
      </c>
      <c r="H30" s="119" t="s">
        <v>238</v>
      </c>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row>
    <row r="31" spans="1:57" s="89" customFormat="1" ht="12.75">
      <c r="A31" s="115" t="s">
        <v>272</v>
      </c>
      <c r="B31" s="115" t="s">
        <v>272</v>
      </c>
      <c r="C31" s="116" t="s">
        <v>167</v>
      </c>
      <c r="D31" s="120" t="s">
        <v>274</v>
      </c>
      <c r="E31" s="115" t="s">
        <v>246</v>
      </c>
      <c r="F31" s="116" t="s">
        <v>164</v>
      </c>
      <c r="G31" s="115" t="s">
        <v>154</v>
      </c>
      <c r="H31" s="119" t="s">
        <v>238</v>
      </c>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row>
    <row r="32" spans="1:57" s="89" customFormat="1" ht="12.75">
      <c r="A32" s="115" t="s">
        <v>272</v>
      </c>
      <c r="B32" s="115" t="s">
        <v>272</v>
      </c>
      <c r="C32" s="121" t="s">
        <v>171</v>
      </c>
      <c r="D32" s="122" t="s">
        <v>275</v>
      </c>
      <c r="E32" s="123" t="s">
        <v>246</v>
      </c>
      <c r="F32" s="116" t="s">
        <v>167</v>
      </c>
      <c r="G32" s="115" t="s">
        <v>154</v>
      </c>
      <c r="H32" s="119" t="s">
        <v>238</v>
      </c>
    </row>
    <row r="33" spans="1:8" s="89" customFormat="1" ht="12.75">
      <c r="A33" s="115" t="s">
        <v>272</v>
      </c>
      <c r="B33" s="115" t="s">
        <v>272</v>
      </c>
      <c r="C33" s="121" t="s">
        <v>175</v>
      </c>
      <c r="D33" s="122" t="s">
        <v>276</v>
      </c>
      <c r="E33" s="123" t="s">
        <v>246</v>
      </c>
      <c r="F33" s="121" t="s">
        <v>171</v>
      </c>
      <c r="G33" s="115" t="s">
        <v>154</v>
      </c>
      <c r="H33" s="119" t="s">
        <v>238</v>
      </c>
    </row>
    <row r="34" spans="1:8" s="89" customFormat="1" ht="12.75">
      <c r="A34" s="115" t="s">
        <v>272</v>
      </c>
      <c r="B34" s="115" t="s">
        <v>272</v>
      </c>
      <c r="C34" s="116" t="s">
        <v>133</v>
      </c>
      <c r="D34" s="124" t="s">
        <v>277</v>
      </c>
      <c r="E34" s="115" t="s">
        <v>246</v>
      </c>
      <c r="F34" s="121" t="s">
        <v>144</v>
      </c>
      <c r="G34" s="115" t="s">
        <v>154</v>
      </c>
      <c r="H34" s="119" t="s">
        <v>238</v>
      </c>
    </row>
    <row r="35" spans="1:8" ht="12.75">
      <c r="A35" s="119" t="s">
        <v>272</v>
      </c>
      <c r="B35" s="119" t="s">
        <v>272</v>
      </c>
      <c r="C35" s="119" t="s">
        <v>194</v>
      </c>
      <c r="D35" s="122" t="s">
        <v>278</v>
      </c>
      <c r="E35" s="125" t="s">
        <v>246</v>
      </c>
      <c r="F35" s="119" t="s">
        <v>133</v>
      </c>
      <c r="G35" s="125" t="s">
        <v>154</v>
      </c>
      <c r="H35" s="125" t="s">
        <v>238</v>
      </c>
    </row>
    <row r="36" spans="1:8" ht="12.75">
      <c r="A36" s="119" t="s">
        <v>272</v>
      </c>
      <c r="B36" s="119" t="s">
        <v>272</v>
      </c>
      <c r="C36" s="119" t="s">
        <v>198</v>
      </c>
      <c r="D36" s="122" t="s">
        <v>279</v>
      </c>
      <c r="E36" s="125" t="s">
        <v>246</v>
      </c>
      <c r="F36" s="119" t="s">
        <v>194</v>
      </c>
      <c r="G36" s="125" t="s">
        <v>154</v>
      </c>
      <c r="H36" s="125" t="s">
        <v>238</v>
      </c>
    </row>
    <row r="37" spans="1:8" ht="12.75">
      <c r="A37" s="126" t="s">
        <v>280</v>
      </c>
      <c r="B37" s="126" t="s">
        <v>280</v>
      </c>
      <c r="C37" s="126" t="s">
        <v>65</v>
      </c>
      <c r="D37" s="127" t="s">
        <v>157</v>
      </c>
      <c r="E37" s="128" t="s">
        <v>237</v>
      </c>
      <c r="F37" s="126" t="s">
        <v>141</v>
      </c>
      <c r="G37" s="128" t="s">
        <v>174</v>
      </c>
      <c r="H37" s="128" t="s">
        <v>238</v>
      </c>
    </row>
    <row r="38" spans="1:8" s="89" customFormat="1" ht="12.75">
      <c r="A38" s="129" t="s">
        <v>280</v>
      </c>
      <c r="B38" s="129" t="s">
        <v>280</v>
      </c>
      <c r="C38" s="130" t="s">
        <v>68</v>
      </c>
      <c r="D38" s="131" t="s">
        <v>160</v>
      </c>
      <c r="E38" s="132" t="s">
        <v>237</v>
      </c>
      <c r="F38" s="126" t="s">
        <v>65</v>
      </c>
      <c r="G38" s="129" t="s">
        <v>174</v>
      </c>
      <c r="H38" s="132" t="s">
        <v>238</v>
      </c>
    </row>
    <row r="39" spans="1:8" s="89" customFormat="1" ht="12.75">
      <c r="A39" s="129" t="s">
        <v>280</v>
      </c>
      <c r="B39" s="129" t="s">
        <v>280</v>
      </c>
      <c r="C39" s="126" t="s">
        <v>155</v>
      </c>
      <c r="D39" s="131" t="s">
        <v>281</v>
      </c>
      <c r="E39" s="132" t="s">
        <v>237</v>
      </c>
      <c r="F39" s="126" t="s">
        <v>68</v>
      </c>
      <c r="G39" s="129" t="s">
        <v>174</v>
      </c>
      <c r="H39" s="132" t="s">
        <v>238</v>
      </c>
    </row>
    <row r="40" spans="1:8" s="89" customFormat="1" ht="12.75">
      <c r="A40" s="136" t="s">
        <v>280</v>
      </c>
      <c r="B40" s="136" t="s">
        <v>280</v>
      </c>
      <c r="C40" s="137" t="s">
        <v>158</v>
      </c>
      <c r="D40" s="138" t="s">
        <v>282</v>
      </c>
      <c r="E40" s="139" t="s">
        <v>261</v>
      </c>
      <c r="F40" s="140" t="s">
        <v>155</v>
      </c>
      <c r="G40" s="136" t="s">
        <v>174</v>
      </c>
      <c r="H40" s="139" t="s">
        <v>238</v>
      </c>
    </row>
    <row r="41" spans="1:8" s="89" customFormat="1" ht="12.75">
      <c r="A41" s="134" t="s">
        <v>283</v>
      </c>
      <c r="B41" s="134" t="s">
        <v>283</v>
      </c>
      <c r="C41" s="133" t="s">
        <v>201</v>
      </c>
      <c r="D41" s="141" t="s">
        <v>284</v>
      </c>
      <c r="E41" s="135" t="s">
        <v>237</v>
      </c>
      <c r="F41" s="133" t="s">
        <v>130</v>
      </c>
      <c r="G41" s="134" t="s">
        <v>197</v>
      </c>
      <c r="H41" s="135" t="s">
        <v>238</v>
      </c>
    </row>
    <row r="42" spans="1:8" ht="12.75">
      <c r="A42" s="134" t="s">
        <v>283</v>
      </c>
      <c r="B42" s="134" t="s">
        <v>283</v>
      </c>
      <c r="C42" s="133" t="s">
        <v>204</v>
      </c>
      <c r="D42" s="141" t="s">
        <v>285</v>
      </c>
      <c r="E42" s="135" t="s">
        <v>237</v>
      </c>
      <c r="F42" s="133" t="s">
        <v>201</v>
      </c>
      <c r="G42" s="134" t="s">
        <v>197</v>
      </c>
      <c r="H42" s="135" t="s">
        <v>238</v>
      </c>
    </row>
    <row r="43" spans="1:8" ht="12.75">
      <c r="A43" s="134" t="s">
        <v>283</v>
      </c>
      <c r="B43" s="134" t="s">
        <v>283</v>
      </c>
      <c r="C43" s="133" t="s">
        <v>207</v>
      </c>
      <c r="D43" s="141" t="s">
        <v>286</v>
      </c>
      <c r="E43" s="135" t="s">
        <v>237</v>
      </c>
      <c r="F43" s="133" t="s">
        <v>204</v>
      </c>
      <c r="G43" s="134" t="s">
        <v>197</v>
      </c>
      <c r="H43" s="135" t="s">
        <v>238</v>
      </c>
    </row>
    <row r="44" spans="1:8" ht="12.75">
      <c r="A44" s="133" t="s">
        <v>283</v>
      </c>
      <c r="B44" s="133" t="s">
        <v>283</v>
      </c>
      <c r="C44" s="133" t="s">
        <v>210</v>
      </c>
      <c r="D44" s="142" t="s">
        <v>287</v>
      </c>
      <c r="E44" s="133" t="s">
        <v>237</v>
      </c>
      <c r="F44" s="133" t="s">
        <v>207</v>
      </c>
      <c r="G44" s="133" t="s">
        <v>197</v>
      </c>
      <c r="H44" s="133" t="s">
        <v>238</v>
      </c>
    </row>
    <row r="45" spans="1:8" ht="12.75">
      <c r="A45" s="133" t="s">
        <v>283</v>
      </c>
      <c r="B45" s="133" t="s">
        <v>283</v>
      </c>
      <c r="C45" s="133" t="s">
        <v>213</v>
      </c>
      <c r="D45" s="142" t="s">
        <v>288</v>
      </c>
      <c r="E45" s="133" t="s">
        <v>237</v>
      </c>
      <c r="F45" s="133" t="s">
        <v>210</v>
      </c>
      <c r="G45" s="133" t="s">
        <v>197</v>
      </c>
      <c r="H45" s="133" t="s">
        <v>238</v>
      </c>
    </row>
    <row r="46" spans="1:8" ht="12.75">
      <c r="A46" s="133" t="s">
        <v>283</v>
      </c>
      <c r="B46" s="133" t="s">
        <v>283</v>
      </c>
      <c r="C46" s="133" t="s">
        <v>216</v>
      </c>
      <c r="D46" s="142" t="s">
        <v>289</v>
      </c>
      <c r="E46" s="133" t="s">
        <v>237</v>
      </c>
      <c r="F46" s="133" t="s">
        <v>213</v>
      </c>
      <c r="G46" s="133" t="s">
        <v>197</v>
      </c>
      <c r="H46" s="133" t="s">
        <v>238</v>
      </c>
    </row>
    <row r="47" spans="1:8" ht="12.75">
      <c r="A47" s="133" t="s">
        <v>283</v>
      </c>
      <c r="B47" s="133" t="s">
        <v>283</v>
      </c>
      <c r="C47" s="133" t="s">
        <v>219</v>
      </c>
      <c r="D47" s="142" t="s">
        <v>290</v>
      </c>
      <c r="E47" s="133" t="s">
        <v>246</v>
      </c>
      <c r="F47" s="133" t="s">
        <v>216</v>
      </c>
      <c r="G47" s="133" t="s">
        <v>197</v>
      </c>
      <c r="H47" s="133" t="s">
        <v>238</v>
      </c>
    </row>
    <row r="48" spans="1:8" ht="12.75">
      <c r="A48" s="133" t="s">
        <v>283</v>
      </c>
      <c r="B48" s="133" t="s">
        <v>283</v>
      </c>
      <c r="C48" s="133" t="s">
        <v>71</v>
      </c>
      <c r="D48" s="142" t="s">
        <v>291</v>
      </c>
      <c r="E48" s="133" t="s">
        <v>237</v>
      </c>
      <c r="F48" s="133" t="s">
        <v>216</v>
      </c>
      <c r="G48" s="133" t="s">
        <v>197</v>
      </c>
      <c r="H48" s="133" t="s">
        <v>238</v>
      </c>
    </row>
    <row r="49" spans="1:8" ht="12.75">
      <c r="A49" s="133" t="s">
        <v>283</v>
      </c>
      <c r="B49" s="133" t="s">
        <v>283</v>
      </c>
      <c r="C49" s="133" t="s">
        <v>75</v>
      </c>
      <c r="D49" s="142" t="s">
        <v>292</v>
      </c>
      <c r="E49" s="133" t="s">
        <v>237</v>
      </c>
      <c r="F49" s="133" t="s">
        <v>216</v>
      </c>
      <c r="G49" s="133" t="s">
        <v>197</v>
      </c>
      <c r="H49" s="133" t="s">
        <v>238</v>
      </c>
    </row>
    <row r="50" spans="1:8" ht="12.75">
      <c r="A50"/>
      <c r="B50"/>
      <c r="C50"/>
    </row>
    <row r="51" spans="1:8" ht="12.75">
      <c r="A51"/>
      <c r="B51"/>
      <c r="C51"/>
    </row>
    <row r="52" spans="1:8" ht="12.75">
      <c r="A52"/>
      <c r="B52"/>
      <c r="C52"/>
    </row>
    <row r="53" spans="1:8" ht="12.75">
      <c r="A53"/>
      <c r="B53"/>
      <c r="C53"/>
    </row>
    <row r="54" spans="1:8" ht="12.75">
      <c r="A54"/>
      <c r="B54"/>
      <c r="C54"/>
    </row>
    <row r="55" spans="1:8" ht="12.75">
      <c r="A55"/>
      <c r="B55"/>
      <c r="C55"/>
    </row>
    <row r="56" spans="1:8" ht="12.75">
      <c r="A56"/>
      <c r="B56"/>
      <c r="C56"/>
    </row>
    <row r="57" spans="1:8" ht="12.75">
      <c r="A57"/>
      <c r="B57"/>
      <c r="C57"/>
    </row>
    <row r="58" spans="1:8" ht="12.75">
      <c r="A58"/>
      <c r="B58"/>
      <c r="C58"/>
    </row>
    <row r="59" spans="1:8" ht="12.75">
      <c r="A59"/>
      <c r="B59"/>
      <c r="C59"/>
    </row>
    <row r="60" spans="1:8" ht="12.75">
      <c r="A60"/>
      <c r="B60"/>
      <c r="C60"/>
    </row>
    <row r="61" spans="1:8" ht="12.75">
      <c r="A61"/>
      <c r="B61"/>
      <c r="C61"/>
    </row>
    <row r="62" spans="1:8" ht="12.75">
      <c r="A62"/>
      <c r="B62"/>
      <c r="C62"/>
    </row>
    <row r="63" spans="1:8" ht="12.75">
      <c r="A63"/>
      <c r="B63"/>
      <c r="C63"/>
    </row>
    <row r="64" spans="1:8" ht="12.75">
      <c r="A64"/>
      <c r="B64"/>
      <c r="C64"/>
    </row>
    <row r="65" spans="1:3" ht="12.75">
      <c r="A65"/>
      <c r="B65"/>
      <c r="C65"/>
    </row>
    <row r="66" spans="1:3" ht="12.75">
      <c r="A66"/>
      <c r="B66"/>
      <c r="C66"/>
    </row>
    <row r="67" spans="1:3" ht="12.75">
      <c r="A67"/>
      <c r="B67"/>
      <c r="C67"/>
    </row>
    <row r="68" spans="1:3" ht="12.75">
      <c r="A68"/>
      <c r="B68"/>
      <c r="C68"/>
    </row>
    <row r="69" spans="1:3" ht="12.75">
      <c r="A69"/>
      <c r="B69"/>
      <c r="C69"/>
    </row>
    <row r="70" spans="1:3" ht="12.75">
      <c r="A70"/>
      <c r="B70"/>
      <c r="C70"/>
    </row>
    <row r="71" spans="1:3" ht="12.75">
      <c r="A71"/>
      <c r="B71"/>
      <c r="C71"/>
    </row>
    <row r="72" spans="1:3" ht="12.75">
      <c r="A72"/>
      <c r="B72"/>
      <c r="C72"/>
    </row>
    <row r="73" spans="1:3" ht="12.75">
      <c r="A73"/>
      <c r="B73"/>
      <c r="C73"/>
    </row>
    <row r="74" spans="1:3" ht="12.75">
      <c r="A74"/>
      <c r="B74"/>
      <c r="C74"/>
    </row>
    <row r="75" spans="1:3" ht="12.75">
      <c r="A75"/>
      <c r="B75"/>
      <c r="C75"/>
    </row>
    <row r="76" spans="1:3" ht="12.75">
      <c r="A76"/>
      <c r="B76"/>
      <c r="C76"/>
    </row>
    <row r="77" spans="1:3" ht="12.75">
      <c r="A77"/>
      <c r="B77"/>
      <c r="C77"/>
    </row>
    <row r="78" spans="1:3" ht="12.75">
      <c r="A78"/>
      <c r="B78"/>
      <c r="C78"/>
    </row>
    <row r="79" spans="1:3" ht="12.75">
      <c r="A79"/>
      <c r="B79"/>
      <c r="C79"/>
    </row>
    <row r="80" spans="1:3" ht="12.75">
      <c r="A80"/>
      <c r="B80"/>
      <c r="C80"/>
    </row>
    <row r="81" spans="1:3" ht="12.75">
      <c r="A81"/>
      <c r="B81"/>
      <c r="C81"/>
    </row>
    <row r="82" spans="1:3" ht="12.75">
      <c r="A82"/>
      <c r="B82"/>
      <c r="C82"/>
    </row>
    <row r="83" spans="1:3" ht="12.75">
      <c r="A83"/>
      <c r="B83"/>
      <c r="C83"/>
    </row>
    <row r="84" spans="1:3" ht="12.75">
      <c r="A84"/>
      <c r="B84"/>
      <c r="C84"/>
    </row>
    <row r="85" spans="1:3" ht="12.75">
      <c r="A85"/>
      <c r="B85"/>
      <c r="C85"/>
    </row>
    <row r="86" spans="1:3" ht="12.75">
      <c r="A86"/>
      <c r="B86"/>
      <c r="C86"/>
    </row>
    <row r="87" spans="1:3" ht="12.75">
      <c r="A87"/>
      <c r="B87"/>
      <c r="C87"/>
    </row>
    <row r="88" spans="1:3" ht="12.75">
      <c r="A88"/>
      <c r="B88"/>
      <c r="C88"/>
    </row>
    <row r="89" spans="1:3" ht="12.75">
      <c r="A89"/>
      <c r="B89"/>
      <c r="C89"/>
    </row>
    <row r="90" spans="1:3" ht="12.75">
      <c r="A90"/>
      <c r="B90"/>
      <c r="C90"/>
    </row>
    <row r="91" spans="1:3" ht="12.75">
      <c r="A91"/>
      <c r="B91"/>
      <c r="C91"/>
    </row>
  </sheetData>
  <phoneticPr fontId="7" type="noConversion"/>
  <dataValidations count="2">
    <dataValidation type="list" allowBlank="1" showInputMessage="1" showErrorMessage="1" sqref="H10 H2 H18 H25:H26 H28:H29 H35:H43" xr:uid="{B29EA43F-E3F9-48FE-9D3E-2037EB3EA251}">
      <formula1>"1- Not Started, 2- In Progress, 3- Completed"</formula1>
    </dataValidation>
    <dataValidation type="list" allowBlank="1" showInputMessage="1" showErrorMessage="1" sqref="E10 E2 E18 E25:E26 E28:E43" xr:uid="{54C1A78C-0EBD-4266-BC4D-F97F5CB361BE}">
      <formula1>"MUST HAVE, SHOULD HAVE, COULD HAVE, WON'T HAVE"</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9368-6BFD-4B2D-BFE4-D988CB6B613B}">
  <sheetPr codeName="Sheet9">
    <tabColor theme="9" tint="0.59999389629810485"/>
  </sheetPr>
  <dimension ref="A1:CZ29"/>
  <sheetViews>
    <sheetView showGridLines="0" workbookViewId="0">
      <selection activeCell="I22" sqref="I22"/>
    </sheetView>
  </sheetViews>
  <sheetFormatPr defaultColWidth="9.28515625" defaultRowHeight="13.15"/>
  <cols>
    <col min="1" max="1" width="6.7109375" style="3" customWidth="1"/>
    <col min="2" max="4" width="12.28515625" style="1" customWidth="1"/>
    <col min="5" max="5" width="17.42578125" style="2" customWidth="1"/>
    <col min="6" max="6" width="32.5703125" style="1" customWidth="1"/>
    <col min="7" max="7" width="37.42578125" style="2" customWidth="1"/>
    <col min="8" max="8" width="38.7109375" style="2" customWidth="1"/>
    <col min="9" max="9" width="127.85546875" style="2" customWidth="1"/>
    <col min="10" max="10" width="9.28515625" style="2" customWidth="1"/>
    <col min="11" max="16384" width="9.28515625" style="2"/>
  </cols>
  <sheetData>
    <row r="1" spans="1:104" s="4" customFormat="1" ht="45.75" customHeight="1">
      <c r="A1" s="179" t="s">
        <v>293</v>
      </c>
      <c r="B1" s="179" t="s">
        <v>294</v>
      </c>
      <c r="C1" s="179" t="s">
        <v>295</v>
      </c>
      <c r="D1" s="179" t="s">
        <v>296</v>
      </c>
      <c r="E1" s="179" t="s">
        <v>297</v>
      </c>
      <c r="F1" s="179" t="s">
        <v>298</v>
      </c>
      <c r="G1" s="179" t="s">
        <v>299</v>
      </c>
      <c r="H1" s="179" t="s">
        <v>300</v>
      </c>
      <c r="I1" s="179" t="s">
        <v>301</v>
      </c>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row>
    <row r="2" spans="1:104" s="5" customFormat="1" ht="48.75" customHeight="1">
      <c r="A2" s="180">
        <v>1</v>
      </c>
      <c r="B2" s="176" t="s">
        <v>235</v>
      </c>
      <c r="C2" s="177">
        <v>46234</v>
      </c>
      <c r="D2" s="177">
        <v>46235</v>
      </c>
      <c r="E2" s="176" t="s">
        <v>31</v>
      </c>
      <c r="F2" s="178" t="s">
        <v>302</v>
      </c>
      <c r="G2" s="178" t="s">
        <v>303</v>
      </c>
      <c r="H2" s="178" t="s">
        <v>304</v>
      </c>
      <c r="I2" s="178" t="s">
        <v>305</v>
      </c>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row>
    <row r="3" spans="1:104" s="5" customFormat="1" ht="51.75" customHeight="1">
      <c r="A3" s="181">
        <v>2</v>
      </c>
      <c r="B3" s="18" t="s">
        <v>251</v>
      </c>
      <c r="C3" s="19">
        <v>46236</v>
      </c>
      <c r="D3" s="19">
        <v>46236</v>
      </c>
      <c r="E3" s="18" t="s">
        <v>88</v>
      </c>
      <c r="F3" s="169" t="s">
        <v>306</v>
      </c>
      <c r="G3" s="169" t="s">
        <v>307</v>
      </c>
      <c r="H3" s="169" t="s">
        <v>308</v>
      </c>
      <c r="I3" s="170" t="s">
        <v>309</v>
      </c>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row>
    <row r="4" spans="1:104" s="5" customFormat="1" ht="43.5" customHeight="1">
      <c r="A4" s="181">
        <v>3</v>
      </c>
      <c r="B4" s="20" t="s">
        <v>262</v>
      </c>
      <c r="C4" s="21">
        <v>46235</v>
      </c>
      <c r="D4" s="21">
        <v>46236</v>
      </c>
      <c r="E4" s="20" t="s">
        <v>102</v>
      </c>
      <c r="F4" s="171" t="s">
        <v>310</v>
      </c>
      <c r="G4" s="171" t="s">
        <v>311</v>
      </c>
      <c r="H4" s="171" t="s">
        <v>312</v>
      </c>
      <c r="I4" s="171" t="s">
        <v>313</v>
      </c>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row>
    <row r="5" spans="1:104" s="5" customFormat="1" ht="51.75" customHeight="1">
      <c r="A5" s="181">
        <v>4</v>
      </c>
      <c r="B5" s="22" t="s">
        <v>269</v>
      </c>
      <c r="C5" s="23">
        <v>46236</v>
      </c>
      <c r="D5" s="23">
        <v>46237</v>
      </c>
      <c r="E5" s="22" t="s">
        <v>271</v>
      </c>
      <c r="F5" s="29" t="s">
        <v>314</v>
      </c>
      <c r="G5" s="29" t="s">
        <v>315</v>
      </c>
      <c r="H5" s="29" t="s">
        <v>316</v>
      </c>
      <c r="I5" s="29" t="s">
        <v>317</v>
      </c>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row>
    <row r="6" spans="1:104" s="5" customFormat="1" ht="53.25" customHeight="1">
      <c r="A6" s="181">
        <v>5</v>
      </c>
      <c r="B6" s="161" t="s">
        <v>272</v>
      </c>
      <c r="C6" s="162">
        <v>46238</v>
      </c>
      <c r="D6" s="162">
        <v>46239</v>
      </c>
      <c r="E6" s="163" t="s">
        <v>154</v>
      </c>
      <c r="F6" s="173" t="s">
        <v>318</v>
      </c>
      <c r="G6" s="172" t="s">
        <v>319</v>
      </c>
      <c r="H6" s="173" t="s">
        <v>320</v>
      </c>
      <c r="I6" s="173" t="s">
        <v>321</v>
      </c>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row>
    <row r="7" spans="1:104" s="5" customFormat="1" ht="39" customHeight="1">
      <c r="A7" s="181">
        <v>6</v>
      </c>
      <c r="B7" s="164" t="s">
        <v>280</v>
      </c>
      <c r="C7" s="165">
        <v>46248</v>
      </c>
      <c r="D7" s="165">
        <v>46248</v>
      </c>
      <c r="E7" s="166" t="s">
        <v>174</v>
      </c>
      <c r="F7" s="174" t="s">
        <v>322</v>
      </c>
      <c r="G7" s="174" t="s">
        <v>323</v>
      </c>
      <c r="H7" s="174" t="s">
        <v>324</v>
      </c>
      <c r="I7" s="174" t="s">
        <v>325</v>
      </c>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row>
    <row r="8" spans="1:104" s="5" customFormat="1" ht="39" customHeight="1">
      <c r="A8" s="181">
        <v>7</v>
      </c>
      <c r="B8" s="167" t="s">
        <v>326</v>
      </c>
      <c r="C8" s="77">
        <v>46266</v>
      </c>
      <c r="D8" s="77">
        <v>46277</v>
      </c>
      <c r="E8" s="76" t="s">
        <v>183</v>
      </c>
      <c r="F8" s="112" t="s">
        <v>327</v>
      </c>
      <c r="G8" s="112" t="s">
        <v>328</v>
      </c>
      <c r="H8" s="112" t="s">
        <v>329</v>
      </c>
      <c r="I8" s="112" t="s">
        <v>330</v>
      </c>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row>
    <row r="9" spans="1:104" s="5" customFormat="1" ht="39" customHeight="1">
      <c r="A9" s="181">
        <v>8</v>
      </c>
      <c r="B9" s="134" t="s">
        <v>283</v>
      </c>
      <c r="C9" s="168">
        <v>46244</v>
      </c>
      <c r="D9" s="168">
        <v>46268</v>
      </c>
      <c r="E9" s="134" t="s">
        <v>197</v>
      </c>
      <c r="F9" s="141" t="s">
        <v>331</v>
      </c>
      <c r="G9" s="175" t="s">
        <v>332</v>
      </c>
      <c r="H9" s="141" t="s">
        <v>333</v>
      </c>
      <c r="I9" s="141" t="s">
        <v>334</v>
      </c>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row>
    <row r="10" spans="1:104" s="5" customFormat="1" ht="12.7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row>
    <row r="11" spans="1:104" s="5" customFormat="1" ht="12.75">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row>
    <row r="12" spans="1:104" s="5" customFormat="1" ht="12.75">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row>
    <row r="13" spans="1:104" s="5" customFormat="1" ht="12.75">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row>
    <row r="14" spans="1:104" ht="12.75">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row>
    <row r="15" spans="1:104" ht="12.75">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row>
    <row r="16" spans="1:104" ht="12.7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row>
    <row r="17" spans="1:104" ht="12.7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row>
    <row r="18" spans="1:104" ht="12.7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row>
    <row r="19" spans="1:104" ht="12.7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row>
    <row r="20" spans="1:104" ht="12.75">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row>
    <row r="21" spans="1:104" ht="12.75">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row>
    <row r="22" spans="1:104" ht="12.7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row>
    <row r="23" spans="1:104" ht="12.75">
      <c r="A23"/>
      <c r="B23"/>
      <c r="C23"/>
      <c r="D23"/>
      <c r="E23"/>
      <c r="F23"/>
      <c r="G23"/>
      <c r="H23"/>
      <c r="I23"/>
      <c r="J23"/>
      <c r="K23"/>
      <c r="L23"/>
      <c r="M23"/>
      <c r="N23"/>
      <c r="O23"/>
      <c r="P23"/>
      <c r="Q23"/>
      <c r="R23"/>
      <c r="S23"/>
      <c r="T23"/>
      <c r="U23"/>
      <c r="V23"/>
      <c r="W23"/>
      <c r="X23"/>
      <c r="Y23"/>
      <c r="Z23"/>
      <c r="AA23"/>
      <c r="AB23"/>
      <c r="AC23"/>
      <c r="AD23"/>
      <c r="AE23"/>
      <c r="AF23"/>
      <c r="AG23"/>
    </row>
    <row r="24" spans="1:104" ht="12.75">
      <c r="A24"/>
      <c r="B24"/>
      <c r="C24"/>
      <c r="D24"/>
      <c r="E24"/>
      <c r="F24"/>
      <c r="G24"/>
      <c r="H24"/>
      <c r="I24"/>
      <c r="J24"/>
      <c r="K24"/>
      <c r="L24"/>
      <c r="M24"/>
      <c r="N24"/>
      <c r="O24"/>
      <c r="P24"/>
      <c r="Q24"/>
      <c r="R24"/>
      <c r="S24"/>
      <c r="T24"/>
      <c r="U24"/>
      <c r="V24"/>
      <c r="W24"/>
      <c r="X24"/>
      <c r="Y24"/>
      <c r="Z24"/>
      <c r="AA24"/>
      <c r="AB24"/>
      <c r="AC24"/>
      <c r="AD24"/>
      <c r="AE24"/>
      <c r="AF24"/>
      <c r="AG24"/>
    </row>
    <row r="25" spans="1:104" ht="12.75">
      <c r="A25"/>
      <c r="B25"/>
      <c r="C25"/>
      <c r="D25"/>
      <c r="E25"/>
      <c r="F25"/>
      <c r="G25"/>
      <c r="H25"/>
      <c r="I25"/>
      <c r="J25"/>
      <c r="K25"/>
      <c r="L25"/>
      <c r="M25"/>
      <c r="N25"/>
      <c r="O25"/>
      <c r="P25"/>
      <c r="Q25"/>
      <c r="R25"/>
      <c r="S25"/>
      <c r="T25"/>
      <c r="U25"/>
      <c r="V25"/>
      <c r="W25"/>
      <c r="X25"/>
      <c r="Y25"/>
      <c r="Z25"/>
      <c r="AA25"/>
      <c r="AB25"/>
      <c r="AC25"/>
      <c r="AD25"/>
      <c r="AE25"/>
      <c r="AF25"/>
      <c r="AG25"/>
    </row>
    <row r="26" spans="1:104" ht="12.75">
      <c r="A26"/>
      <c r="B26"/>
      <c r="C26"/>
      <c r="D26"/>
      <c r="E26"/>
      <c r="F26"/>
      <c r="G26"/>
      <c r="H26"/>
      <c r="I26"/>
      <c r="J26"/>
      <c r="K26"/>
      <c r="L26"/>
      <c r="M26"/>
      <c r="N26"/>
      <c r="O26"/>
      <c r="P26"/>
      <c r="Q26"/>
      <c r="R26"/>
      <c r="S26"/>
      <c r="T26"/>
      <c r="U26"/>
      <c r="V26"/>
      <c r="W26"/>
      <c r="X26"/>
      <c r="Y26"/>
      <c r="Z26"/>
      <c r="AA26"/>
      <c r="AB26"/>
      <c r="AC26"/>
      <c r="AD26"/>
      <c r="AE26"/>
      <c r="AF26"/>
      <c r="AG26"/>
    </row>
    <row r="27" spans="1:104" ht="12.75">
      <c r="A27"/>
      <c r="B27"/>
      <c r="C27"/>
      <c r="D27"/>
      <c r="E27"/>
      <c r="F27"/>
      <c r="G27"/>
      <c r="H27"/>
      <c r="I27"/>
      <c r="J27"/>
      <c r="K27"/>
      <c r="L27"/>
      <c r="M27"/>
      <c r="N27"/>
      <c r="O27"/>
      <c r="P27"/>
      <c r="Q27"/>
      <c r="R27"/>
      <c r="S27"/>
      <c r="T27"/>
      <c r="U27"/>
      <c r="V27"/>
      <c r="W27"/>
      <c r="X27"/>
      <c r="Y27"/>
      <c r="Z27"/>
      <c r="AA27"/>
      <c r="AB27"/>
      <c r="AC27"/>
      <c r="AD27"/>
      <c r="AE27"/>
      <c r="AF27"/>
      <c r="AG27"/>
    </row>
    <row r="28" spans="1:104" ht="12.75">
      <c r="A28"/>
      <c r="B28"/>
      <c r="C28"/>
      <c r="D28"/>
      <c r="E28"/>
      <c r="F28"/>
      <c r="G28"/>
      <c r="H28"/>
      <c r="I28"/>
      <c r="J28"/>
      <c r="K28"/>
      <c r="L28"/>
      <c r="M28"/>
      <c r="N28"/>
      <c r="O28"/>
      <c r="P28"/>
      <c r="Q28"/>
      <c r="R28"/>
      <c r="S28"/>
      <c r="T28"/>
      <c r="U28"/>
      <c r="V28"/>
      <c r="W28"/>
      <c r="X28"/>
      <c r="Y28"/>
      <c r="Z28"/>
      <c r="AA28"/>
      <c r="AB28"/>
      <c r="AC28"/>
      <c r="AD28"/>
      <c r="AE28"/>
      <c r="AF28"/>
      <c r="AG28"/>
    </row>
    <row r="29" spans="1:104" ht="12.75">
      <c r="A29"/>
      <c r="B29"/>
      <c r="C29"/>
      <c r="D29"/>
      <c r="E29"/>
      <c r="F29"/>
      <c r="G29"/>
      <c r="H29"/>
      <c r="I29"/>
      <c r="J29"/>
      <c r="K29"/>
      <c r="L29"/>
      <c r="M29"/>
      <c r="N29"/>
      <c r="O29"/>
      <c r="P29"/>
      <c r="Q29"/>
      <c r="R29"/>
      <c r="S29"/>
      <c r="T29"/>
      <c r="U29"/>
      <c r="V29"/>
      <c r="W29"/>
      <c r="X29"/>
      <c r="Y29"/>
      <c r="Z29"/>
      <c r="AA29"/>
      <c r="AB29"/>
      <c r="AC29"/>
      <c r="AD29"/>
      <c r="AE29"/>
      <c r="AF29"/>
      <c r="AG29"/>
    </row>
  </sheetData>
  <phoneticPr fontId="2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2F38-78A6-4868-AD90-BEDCE1612A3C}">
  <sheetPr codeName="Sheet5">
    <tabColor theme="7" tint="0.59999389629810485"/>
  </sheetPr>
  <dimension ref="A1:CS110"/>
  <sheetViews>
    <sheetView zoomScale="114" workbookViewId="0">
      <pane ySplit="1" topLeftCell="A2" activePane="bottomLeft" state="frozen"/>
      <selection pane="bottomLeft" activeCell="C11" sqref="C11"/>
    </sheetView>
  </sheetViews>
  <sheetFormatPr defaultRowHeight="13.15"/>
  <cols>
    <col min="1" max="1" width="9.7109375" style="218" customWidth="1"/>
    <col min="2" max="2" width="10.28515625" style="218" customWidth="1"/>
    <col min="3" max="3" width="57.7109375" style="220" customWidth="1"/>
    <col min="4" max="4" width="104.28515625" style="219" customWidth="1"/>
    <col min="5" max="5" width="33.42578125" customWidth="1"/>
  </cols>
  <sheetData>
    <row r="1" spans="1:97" s="28" customFormat="1" ht="23.45" customHeight="1">
      <c r="A1" s="217" t="s">
        <v>335</v>
      </c>
      <c r="B1" s="217" t="s">
        <v>336</v>
      </c>
      <c r="C1" s="217" t="s">
        <v>337</v>
      </c>
      <c r="D1" s="199" t="s">
        <v>338</v>
      </c>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row>
    <row r="2" spans="1:97" s="24" customFormat="1" ht="15" customHeight="1">
      <c r="A2" s="182" t="s">
        <v>235</v>
      </c>
      <c r="B2" s="182" t="s">
        <v>10</v>
      </c>
      <c r="C2" s="182" t="s">
        <v>339</v>
      </c>
      <c r="D2" s="200" t="s">
        <v>340</v>
      </c>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row>
    <row r="3" spans="1:97" s="24" customFormat="1" ht="15" customHeight="1">
      <c r="A3" s="183" t="s">
        <v>235</v>
      </c>
      <c r="B3" s="183" t="s">
        <v>11</v>
      </c>
      <c r="C3" s="183" t="s">
        <v>341</v>
      </c>
      <c r="D3" s="201" t="s">
        <v>342</v>
      </c>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row>
    <row r="4" spans="1:97" s="24" customFormat="1" ht="15" customHeight="1">
      <c r="A4" s="183" t="s">
        <v>235</v>
      </c>
      <c r="B4" s="183" t="s">
        <v>12</v>
      </c>
      <c r="C4" s="183" t="s">
        <v>343</v>
      </c>
      <c r="D4" s="201" t="s">
        <v>344</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row>
    <row r="5" spans="1:97" s="25" customFormat="1" ht="15" customHeight="1">
      <c r="A5" s="183" t="s">
        <v>235</v>
      </c>
      <c r="B5" s="183" t="s">
        <v>13</v>
      </c>
      <c r="C5" s="183" t="s">
        <v>345</v>
      </c>
      <c r="D5" s="201" t="s">
        <v>346</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row>
    <row r="6" spans="1:97" s="25" customFormat="1" ht="15" customHeight="1">
      <c r="A6" s="183" t="s">
        <v>235</v>
      </c>
      <c r="B6" s="183" t="s">
        <v>14</v>
      </c>
      <c r="C6" s="183" t="s">
        <v>347</v>
      </c>
      <c r="D6" s="201" t="s">
        <v>348</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row>
    <row r="7" spans="1:97" s="25" customFormat="1" ht="15" customHeight="1">
      <c r="A7" s="183" t="s">
        <v>235</v>
      </c>
      <c r="B7" s="183" t="s">
        <v>15</v>
      </c>
      <c r="C7" s="183" t="s">
        <v>345</v>
      </c>
      <c r="D7" s="201" t="s">
        <v>349</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row>
    <row r="8" spans="1:97" s="25" customFormat="1" ht="15" customHeight="1">
      <c r="A8" s="183" t="s">
        <v>235</v>
      </c>
      <c r="B8" s="183" t="s">
        <v>16</v>
      </c>
      <c r="C8" s="183" t="s">
        <v>350</v>
      </c>
      <c r="D8" s="201" t="s">
        <v>351</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row>
    <row r="9" spans="1:97" s="26" customFormat="1" ht="15" customHeight="1">
      <c r="A9" s="183" t="s">
        <v>235</v>
      </c>
      <c r="B9" s="183" t="s">
        <v>17</v>
      </c>
      <c r="C9" s="183" t="s">
        <v>345</v>
      </c>
      <c r="D9" s="201" t="s">
        <v>352</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row>
    <row r="10" spans="1:97" s="26" customFormat="1" ht="15" customHeight="1">
      <c r="A10" s="183" t="s">
        <v>235</v>
      </c>
      <c r="B10" s="183" t="s">
        <v>18</v>
      </c>
      <c r="C10" s="183" t="s">
        <v>345</v>
      </c>
      <c r="D10" s="201" t="s">
        <v>353</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row>
    <row r="11" spans="1:97" s="27" customFormat="1" ht="15" customHeight="1">
      <c r="A11" s="183" t="s">
        <v>235</v>
      </c>
      <c r="B11" s="183" t="s">
        <v>19</v>
      </c>
      <c r="C11" s="183" t="s">
        <v>354</v>
      </c>
      <c r="D11" s="201" t="s">
        <v>355</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row>
    <row r="12" spans="1:97" s="27" customFormat="1" ht="15" customHeight="1">
      <c r="A12" s="183" t="s">
        <v>235</v>
      </c>
      <c r="B12" s="183" t="s">
        <v>20</v>
      </c>
      <c r="C12" s="183" t="s">
        <v>356</v>
      </c>
      <c r="D12" s="201" t="s">
        <v>357</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row>
    <row r="13" spans="1:97" ht="15" customHeight="1">
      <c r="A13" s="183" t="s">
        <v>235</v>
      </c>
      <c r="B13" s="183" t="s">
        <v>21</v>
      </c>
      <c r="C13" s="183" t="s">
        <v>345</v>
      </c>
      <c r="D13" s="201" t="s">
        <v>358</v>
      </c>
    </row>
    <row r="14" spans="1:97" ht="15" customHeight="1">
      <c r="A14" s="183" t="s">
        <v>235</v>
      </c>
      <c r="B14" s="183" t="s">
        <v>22</v>
      </c>
      <c r="C14" s="183" t="s">
        <v>359</v>
      </c>
      <c r="D14" s="201" t="s">
        <v>360</v>
      </c>
    </row>
    <row r="15" spans="1:97" ht="15" customHeight="1">
      <c r="A15" s="183" t="s">
        <v>235</v>
      </c>
      <c r="B15" s="183" t="s">
        <v>23</v>
      </c>
      <c r="C15" s="183" t="s">
        <v>361</v>
      </c>
      <c r="D15" s="201" t="s">
        <v>362</v>
      </c>
    </row>
    <row r="16" spans="1:97" ht="15" customHeight="1">
      <c r="A16" s="183"/>
      <c r="B16" s="183"/>
      <c r="C16" s="183"/>
      <c r="D16" s="201"/>
    </row>
    <row r="17" spans="1:4" ht="15" customHeight="1">
      <c r="A17" s="184" t="s">
        <v>251</v>
      </c>
      <c r="B17" s="184" t="s">
        <v>10</v>
      </c>
      <c r="C17" s="184" t="s">
        <v>363</v>
      </c>
      <c r="D17" s="202" t="s">
        <v>364</v>
      </c>
    </row>
    <row r="18" spans="1:4" ht="15" customHeight="1">
      <c r="A18" s="185" t="s">
        <v>251</v>
      </c>
      <c r="B18" s="185" t="s">
        <v>11</v>
      </c>
      <c r="C18" s="185" t="s">
        <v>365</v>
      </c>
      <c r="D18" s="203" t="s">
        <v>366</v>
      </c>
    </row>
    <row r="19" spans="1:4" ht="15" customHeight="1">
      <c r="A19" s="185" t="s">
        <v>251</v>
      </c>
      <c r="B19" s="185" t="s">
        <v>12</v>
      </c>
      <c r="C19" s="185" t="s">
        <v>367</v>
      </c>
      <c r="D19" s="203" t="s">
        <v>368</v>
      </c>
    </row>
    <row r="20" spans="1:4" ht="15" customHeight="1">
      <c r="A20" s="185" t="s">
        <v>251</v>
      </c>
      <c r="B20" s="185" t="s">
        <v>13</v>
      </c>
      <c r="C20" s="185" t="s">
        <v>345</v>
      </c>
      <c r="D20" s="203" t="s">
        <v>369</v>
      </c>
    </row>
    <row r="21" spans="1:4" ht="15" customHeight="1">
      <c r="A21" s="185" t="s">
        <v>251</v>
      </c>
      <c r="B21" s="185" t="s">
        <v>14</v>
      </c>
      <c r="C21" s="185" t="s">
        <v>370</v>
      </c>
      <c r="D21" s="203" t="s">
        <v>371</v>
      </c>
    </row>
    <row r="22" spans="1:4" ht="15" customHeight="1">
      <c r="A22" s="185" t="s">
        <v>251</v>
      </c>
      <c r="B22" s="185" t="s">
        <v>15</v>
      </c>
      <c r="C22" s="185" t="s">
        <v>372</v>
      </c>
      <c r="D22" s="203" t="s">
        <v>373</v>
      </c>
    </row>
    <row r="23" spans="1:4" ht="15" customHeight="1">
      <c r="A23" s="185" t="s">
        <v>251</v>
      </c>
      <c r="B23" s="185" t="s">
        <v>16</v>
      </c>
      <c r="C23" s="185" t="s">
        <v>345</v>
      </c>
      <c r="D23" s="203" t="s">
        <v>374</v>
      </c>
    </row>
    <row r="24" spans="1:4" ht="15" customHeight="1">
      <c r="A24" s="185"/>
      <c r="B24" s="185"/>
      <c r="C24" s="185"/>
      <c r="D24" s="203"/>
    </row>
    <row r="25" spans="1:4" ht="15" customHeight="1">
      <c r="A25" s="186" t="s">
        <v>262</v>
      </c>
      <c r="B25" s="186" t="s">
        <v>10</v>
      </c>
      <c r="C25" s="186" t="s">
        <v>375</v>
      </c>
      <c r="D25" s="204" t="s">
        <v>376</v>
      </c>
    </row>
    <row r="26" spans="1:4" ht="15" customHeight="1">
      <c r="A26" s="187" t="s">
        <v>262</v>
      </c>
      <c r="B26" s="187" t="s">
        <v>11</v>
      </c>
      <c r="C26" s="187" t="s">
        <v>377</v>
      </c>
      <c r="D26" s="205" t="s">
        <v>378</v>
      </c>
    </row>
    <row r="27" spans="1:4" ht="15" customHeight="1">
      <c r="A27" s="187" t="s">
        <v>262</v>
      </c>
      <c r="B27" s="187" t="s">
        <v>12</v>
      </c>
      <c r="C27" s="187" t="s">
        <v>379</v>
      </c>
      <c r="D27" s="205" t="s">
        <v>380</v>
      </c>
    </row>
    <row r="28" spans="1:4" ht="15" customHeight="1">
      <c r="A28" s="187" t="s">
        <v>262</v>
      </c>
      <c r="B28" s="187" t="s">
        <v>13</v>
      </c>
      <c r="C28" s="187" t="s">
        <v>381</v>
      </c>
      <c r="D28" s="205" t="s">
        <v>382</v>
      </c>
    </row>
    <row r="29" spans="1:4" ht="15" customHeight="1">
      <c r="A29" s="187" t="s">
        <v>262</v>
      </c>
      <c r="B29" s="187" t="s">
        <v>14</v>
      </c>
      <c r="C29" s="187" t="s">
        <v>383</v>
      </c>
      <c r="D29" s="205" t="s">
        <v>384</v>
      </c>
    </row>
    <row r="30" spans="1:4" ht="15" customHeight="1">
      <c r="A30" s="187" t="s">
        <v>262</v>
      </c>
      <c r="B30" s="187" t="s">
        <v>15</v>
      </c>
      <c r="C30" s="187" t="s">
        <v>345</v>
      </c>
      <c r="D30" s="205" t="s">
        <v>385</v>
      </c>
    </row>
    <row r="31" spans="1:4" ht="15" customHeight="1">
      <c r="A31" s="187" t="s">
        <v>262</v>
      </c>
      <c r="B31" s="187" t="s">
        <v>16</v>
      </c>
      <c r="C31" s="187" t="s">
        <v>345</v>
      </c>
      <c r="D31" s="205" t="s">
        <v>386</v>
      </c>
    </row>
    <row r="32" spans="1:4" ht="15" customHeight="1">
      <c r="A32" s="187"/>
      <c r="B32" s="187"/>
      <c r="C32" s="187"/>
      <c r="D32" s="205"/>
    </row>
    <row r="33" spans="1:4" ht="15" customHeight="1">
      <c r="A33" s="188" t="s">
        <v>269</v>
      </c>
      <c r="B33" s="188" t="s">
        <v>10</v>
      </c>
      <c r="C33" s="188" t="s">
        <v>387</v>
      </c>
      <c r="D33" s="206" t="s">
        <v>388</v>
      </c>
    </row>
    <row r="34" spans="1:4" ht="15" customHeight="1">
      <c r="A34" s="189" t="s">
        <v>269</v>
      </c>
      <c r="B34" s="189" t="s">
        <v>11</v>
      </c>
      <c r="C34" s="189" t="s">
        <v>389</v>
      </c>
      <c r="D34" s="207" t="s">
        <v>390</v>
      </c>
    </row>
    <row r="35" spans="1:4" ht="15" customHeight="1">
      <c r="A35" s="189" t="s">
        <v>269</v>
      </c>
      <c r="B35" s="189" t="s">
        <v>12</v>
      </c>
      <c r="C35" s="189" t="s">
        <v>391</v>
      </c>
      <c r="D35" s="207" t="s">
        <v>392</v>
      </c>
    </row>
    <row r="36" spans="1:4" ht="15" customHeight="1">
      <c r="A36" s="189" t="s">
        <v>269</v>
      </c>
      <c r="B36" s="189" t="s">
        <v>13</v>
      </c>
      <c r="C36" s="189" t="s">
        <v>393</v>
      </c>
      <c r="D36" s="207" t="s">
        <v>394</v>
      </c>
    </row>
    <row r="37" spans="1:4" ht="15" customHeight="1">
      <c r="A37" s="189"/>
      <c r="B37" s="189"/>
      <c r="C37" s="189"/>
      <c r="D37" s="207"/>
    </row>
    <row r="38" spans="1:4" ht="15" customHeight="1">
      <c r="A38" s="190" t="s">
        <v>272</v>
      </c>
      <c r="B38" s="190" t="s">
        <v>10</v>
      </c>
      <c r="C38" s="190" t="s">
        <v>395</v>
      </c>
      <c r="D38" s="208" t="s">
        <v>396</v>
      </c>
    </row>
    <row r="39" spans="1:4" ht="15" customHeight="1">
      <c r="A39" s="191" t="s">
        <v>272</v>
      </c>
      <c r="B39" s="191" t="s">
        <v>11</v>
      </c>
      <c r="C39" s="191" t="s">
        <v>397</v>
      </c>
      <c r="D39" s="209" t="s">
        <v>398</v>
      </c>
    </row>
    <row r="40" spans="1:4" ht="15" customHeight="1">
      <c r="A40" s="191" t="s">
        <v>272</v>
      </c>
      <c r="B40" s="191" t="s">
        <v>12</v>
      </c>
      <c r="C40" s="191" t="s">
        <v>345</v>
      </c>
      <c r="D40" s="209" t="s">
        <v>399</v>
      </c>
    </row>
    <row r="41" spans="1:4" ht="15" customHeight="1">
      <c r="A41" s="191" t="s">
        <v>272</v>
      </c>
      <c r="B41" s="191" t="s">
        <v>13</v>
      </c>
      <c r="C41" s="191" t="s">
        <v>400</v>
      </c>
      <c r="D41" s="209" t="s">
        <v>401</v>
      </c>
    </row>
    <row r="42" spans="1:4" ht="15" customHeight="1">
      <c r="A42" s="191" t="s">
        <v>272</v>
      </c>
      <c r="B42" s="191" t="s">
        <v>14</v>
      </c>
      <c r="C42" s="191" t="s">
        <v>402</v>
      </c>
      <c r="D42" s="209" t="s">
        <v>403</v>
      </c>
    </row>
    <row r="43" spans="1:4" ht="15" customHeight="1">
      <c r="A43" s="191"/>
      <c r="B43" s="191"/>
      <c r="C43" s="191"/>
      <c r="D43" s="209"/>
    </row>
    <row r="44" spans="1:4" ht="15" customHeight="1">
      <c r="A44" s="192" t="s">
        <v>280</v>
      </c>
      <c r="B44" s="192" t="s">
        <v>10</v>
      </c>
      <c r="C44" s="192" t="s">
        <v>404</v>
      </c>
      <c r="D44" s="210" t="s">
        <v>405</v>
      </c>
    </row>
    <row r="45" spans="1:4" ht="15" customHeight="1">
      <c r="A45" s="193" t="s">
        <v>280</v>
      </c>
      <c r="B45" s="193" t="s">
        <v>11</v>
      </c>
      <c r="C45" s="193" t="s">
        <v>345</v>
      </c>
      <c r="D45" s="211" t="s">
        <v>406</v>
      </c>
    </row>
    <row r="46" spans="1:4" ht="15" customHeight="1">
      <c r="A46" s="193" t="s">
        <v>280</v>
      </c>
      <c r="B46" s="193" t="s">
        <v>12</v>
      </c>
      <c r="C46" s="193" t="s">
        <v>407</v>
      </c>
      <c r="D46" s="211" t="s">
        <v>408</v>
      </c>
    </row>
    <row r="47" spans="1:4" ht="15" customHeight="1">
      <c r="A47" s="193" t="s">
        <v>280</v>
      </c>
      <c r="B47" s="193" t="s">
        <v>13</v>
      </c>
      <c r="C47" s="193" t="s">
        <v>345</v>
      </c>
      <c r="D47" s="211" t="s">
        <v>409</v>
      </c>
    </row>
    <row r="48" spans="1:4" ht="15" customHeight="1">
      <c r="A48" s="193" t="s">
        <v>280</v>
      </c>
      <c r="B48" s="193" t="s">
        <v>14</v>
      </c>
      <c r="C48" s="193" t="s">
        <v>410</v>
      </c>
      <c r="D48" s="211" t="s">
        <v>411</v>
      </c>
    </row>
    <row r="49" spans="1:4" ht="15" customHeight="1">
      <c r="A49" s="193"/>
      <c r="B49" s="193"/>
      <c r="C49" s="193"/>
      <c r="D49" s="211"/>
    </row>
    <row r="50" spans="1:4" ht="15" customHeight="1">
      <c r="A50" s="194" t="s">
        <v>326</v>
      </c>
      <c r="B50" s="194" t="s">
        <v>10</v>
      </c>
      <c r="C50" s="194" t="s">
        <v>412</v>
      </c>
      <c r="D50" s="212" t="s">
        <v>413</v>
      </c>
    </row>
    <row r="51" spans="1:4" ht="15" customHeight="1">
      <c r="A51" s="195" t="s">
        <v>326</v>
      </c>
      <c r="B51" s="195" t="s">
        <v>11</v>
      </c>
      <c r="C51" s="195" t="s">
        <v>414</v>
      </c>
      <c r="D51" s="213" t="s">
        <v>415</v>
      </c>
    </row>
    <row r="52" spans="1:4" ht="15" customHeight="1">
      <c r="A52" s="195" t="s">
        <v>326</v>
      </c>
      <c r="B52" s="195" t="s">
        <v>12</v>
      </c>
      <c r="C52" s="195" t="s">
        <v>416</v>
      </c>
      <c r="D52" s="213" t="s">
        <v>417</v>
      </c>
    </row>
    <row r="53" spans="1:4" ht="15" customHeight="1">
      <c r="A53" s="195" t="s">
        <v>326</v>
      </c>
      <c r="B53" s="195" t="s">
        <v>13</v>
      </c>
      <c r="C53" s="195" t="s">
        <v>345</v>
      </c>
      <c r="D53" s="213" t="s">
        <v>418</v>
      </c>
    </row>
    <row r="54" spans="1:4" ht="15" customHeight="1">
      <c r="A54" s="195" t="s">
        <v>326</v>
      </c>
      <c r="B54" s="195" t="s">
        <v>14</v>
      </c>
      <c r="C54" s="195" t="s">
        <v>419</v>
      </c>
      <c r="D54" s="213" t="s">
        <v>420</v>
      </c>
    </row>
    <row r="55" spans="1:4" ht="15" customHeight="1">
      <c r="A55" s="195"/>
      <c r="B55" s="195"/>
      <c r="C55" s="195"/>
      <c r="D55" s="213"/>
    </row>
    <row r="56" spans="1:4" ht="15" customHeight="1">
      <c r="A56" s="196" t="s">
        <v>283</v>
      </c>
      <c r="B56" s="196" t="s">
        <v>10</v>
      </c>
      <c r="C56" s="196" t="s">
        <v>421</v>
      </c>
      <c r="D56" s="214" t="s">
        <v>422</v>
      </c>
    </row>
    <row r="57" spans="1:4" ht="15" customHeight="1">
      <c r="A57" s="197" t="s">
        <v>283</v>
      </c>
      <c r="B57" s="197" t="s">
        <v>11</v>
      </c>
      <c r="C57" s="197" t="s">
        <v>423</v>
      </c>
      <c r="D57" s="215" t="s">
        <v>424</v>
      </c>
    </row>
    <row r="58" spans="1:4" ht="15" customHeight="1">
      <c r="A58" s="197" t="s">
        <v>283</v>
      </c>
      <c r="B58" s="197" t="s">
        <v>12</v>
      </c>
      <c r="C58" s="197" t="s">
        <v>345</v>
      </c>
      <c r="D58" s="215" t="s">
        <v>425</v>
      </c>
    </row>
    <row r="59" spans="1:4" ht="15" customHeight="1">
      <c r="A59" s="197" t="s">
        <v>283</v>
      </c>
      <c r="B59" s="197" t="s">
        <v>13</v>
      </c>
      <c r="C59" s="197" t="s">
        <v>426</v>
      </c>
      <c r="D59" s="215" t="s">
        <v>427</v>
      </c>
    </row>
    <row r="60" spans="1:4" ht="15" customHeight="1">
      <c r="A60" s="197" t="s">
        <v>283</v>
      </c>
      <c r="B60" s="197" t="s">
        <v>14</v>
      </c>
      <c r="C60" s="197" t="s">
        <v>428</v>
      </c>
      <c r="D60" s="215" t="s">
        <v>429</v>
      </c>
    </row>
    <row r="61" spans="1:4" ht="15" customHeight="1">
      <c r="A61" s="197" t="s">
        <v>283</v>
      </c>
      <c r="B61" s="197" t="s">
        <v>15</v>
      </c>
      <c r="C61" s="197" t="s">
        <v>345</v>
      </c>
      <c r="D61" s="215" t="s">
        <v>430</v>
      </c>
    </row>
    <row r="62" spans="1:4" ht="15" customHeight="1">
      <c r="A62" s="197" t="s">
        <v>283</v>
      </c>
      <c r="B62" s="197" t="s">
        <v>16</v>
      </c>
      <c r="C62" s="197" t="s">
        <v>431</v>
      </c>
      <c r="D62" s="215" t="s">
        <v>432</v>
      </c>
    </row>
    <row r="63" spans="1:4" ht="15" customHeight="1">
      <c r="A63" s="197" t="s">
        <v>283</v>
      </c>
      <c r="B63" s="197" t="s">
        <v>17</v>
      </c>
      <c r="C63" s="197" t="s">
        <v>433</v>
      </c>
      <c r="D63" s="215" t="s">
        <v>434</v>
      </c>
    </row>
    <row r="64" spans="1:4" ht="15" customHeight="1">
      <c r="A64" s="197" t="s">
        <v>283</v>
      </c>
      <c r="B64" s="197" t="s">
        <v>18</v>
      </c>
      <c r="C64" s="197" t="s">
        <v>435</v>
      </c>
      <c r="D64" s="215" t="s">
        <v>436</v>
      </c>
    </row>
    <row r="65" spans="1:4" ht="15" customHeight="1">
      <c r="A65" s="197" t="s">
        <v>283</v>
      </c>
      <c r="B65" s="197" t="s">
        <v>19</v>
      </c>
      <c r="C65" s="197" t="s">
        <v>437</v>
      </c>
      <c r="D65" s="215" t="s">
        <v>438</v>
      </c>
    </row>
    <row r="66" spans="1:4" ht="15" customHeight="1">
      <c r="A66" s="197" t="s">
        <v>283</v>
      </c>
      <c r="B66" s="197" t="s">
        <v>20</v>
      </c>
      <c r="C66" s="197" t="s">
        <v>439</v>
      </c>
      <c r="D66" s="215" t="s">
        <v>440</v>
      </c>
    </row>
    <row r="67" spans="1:4" ht="15" customHeight="1">
      <c r="A67" s="197" t="s">
        <v>283</v>
      </c>
      <c r="B67" s="197" t="s">
        <v>21</v>
      </c>
      <c r="C67" s="197" t="s">
        <v>345</v>
      </c>
      <c r="D67" s="215" t="s">
        <v>441</v>
      </c>
    </row>
    <row r="68" spans="1:4" ht="15" customHeight="1">
      <c r="A68" s="197" t="s">
        <v>283</v>
      </c>
      <c r="B68" s="197" t="s">
        <v>22</v>
      </c>
      <c r="C68" s="197" t="s">
        <v>442</v>
      </c>
      <c r="D68" s="215" t="s">
        <v>443</v>
      </c>
    </row>
    <row r="69" spans="1:4" ht="15" customHeight="1">
      <c r="A69" s="198" t="s">
        <v>283</v>
      </c>
      <c r="B69" s="198" t="s">
        <v>23</v>
      </c>
      <c r="C69" s="198" t="s">
        <v>444</v>
      </c>
      <c r="D69" s="216" t="s">
        <v>445</v>
      </c>
    </row>
    <row r="70" spans="1:4">
      <c r="A70"/>
      <c r="B70"/>
      <c r="C70"/>
      <c r="D70"/>
    </row>
    <row r="71" spans="1:4">
      <c r="A71"/>
      <c r="B71"/>
      <c r="C71"/>
      <c r="D71"/>
    </row>
    <row r="72" spans="1:4">
      <c r="A72"/>
      <c r="B72"/>
      <c r="C72"/>
      <c r="D72"/>
    </row>
    <row r="73" spans="1:4">
      <c r="A73"/>
      <c r="B73"/>
      <c r="C73"/>
      <c r="D73"/>
    </row>
    <row r="74" spans="1:4">
      <c r="A74"/>
      <c r="B74"/>
      <c r="C74"/>
      <c r="D74"/>
    </row>
    <row r="75" spans="1:4">
      <c r="A75"/>
      <c r="B75"/>
      <c r="C75"/>
      <c r="D75"/>
    </row>
    <row r="76" spans="1:4">
      <c r="A76"/>
      <c r="B76"/>
      <c r="C76"/>
      <c r="D76"/>
    </row>
    <row r="77" spans="1:4">
      <c r="A77"/>
      <c r="B77"/>
      <c r="C77"/>
      <c r="D77"/>
    </row>
    <row r="78" spans="1:4">
      <c r="A78"/>
      <c r="B78"/>
      <c r="C78"/>
      <c r="D78"/>
    </row>
    <row r="79" spans="1:4">
      <c r="A79"/>
      <c r="B79"/>
      <c r="C79"/>
      <c r="D79"/>
    </row>
    <row r="80" spans="1:4">
      <c r="A80"/>
      <c r="B80"/>
      <c r="C80"/>
      <c r="D80"/>
    </row>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DC8B04-F3B4-4895-BA24-282C95AEE264}"/>
</file>

<file path=customXml/itemProps2.xml><?xml version="1.0" encoding="utf-8"?>
<ds:datastoreItem xmlns:ds="http://schemas.openxmlformats.org/officeDocument/2006/customXml" ds:itemID="{05F2658D-0A1D-482D-8A15-ACBD3F9F55F6}"/>
</file>

<file path=customXml/itemProps3.xml><?xml version="1.0" encoding="utf-8"?>
<ds:datastoreItem xmlns:ds="http://schemas.openxmlformats.org/officeDocument/2006/customXml" ds:itemID="{03F37AD2-F175-417F-8B4C-43FA547649D7}"/>
</file>

<file path=customXml/itemProps4.xml><?xml version="1.0" encoding="utf-8"?>
<ds:datastoreItem xmlns:ds="http://schemas.openxmlformats.org/officeDocument/2006/customXml" ds:itemID="{70CF7EF0-982B-4AD0-BBEC-EE46AE901B4A}"/>
</file>

<file path=docProps/app.xml><?xml version="1.0" encoding="utf-8"?>
<Properties xmlns="http://schemas.openxmlformats.org/officeDocument/2006/extended-properties" xmlns:vt="http://schemas.openxmlformats.org/officeDocument/2006/docPropsVTypes">
  <Application>Microsoft Excel Online</Application>
  <Manager/>
  <Company>Infosys (ETA)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
  <cp:revision/>
  <dcterms:created xsi:type="dcterms:W3CDTF">1996-10-14T23:33:28Z</dcterms:created>
  <dcterms:modified xsi:type="dcterms:W3CDTF">2026-09-15T08:16:18Z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